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1.xml" ContentType="application/vnd.openxmlformats-officedocument.spreadsheetml.comments+xml"/>
  <Override PartName="/xl/drawings/drawing16.xml" ContentType="application/vnd.openxmlformats-officedocument.drawing+xml"/>
  <Override PartName="/xl/comments2.xml" ContentType="application/vnd.openxmlformats-officedocument.spreadsheetml.comments+xml"/>
  <Override PartName="/xl/drawings/drawing17.xml" ContentType="application/vnd.openxmlformats-officedocument.drawing+xml"/>
  <Override PartName="/xl/comments3.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activeX/activeX2.xml" ContentType="application/vnd.ms-office.activeX+xml"/>
  <Override PartName="/xl/activeX/activeX2.bin" ContentType="application/vnd.ms-office.activeX"/>
  <Override PartName="/xl/drawings/drawing26.xml" ContentType="application/vnd.openxmlformats-officedocument.drawing+xml"/>
  <Override PartName="/xl/drawings/drawing27.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F:\AI\manga\cursor\fusimi\"/>
    </mc:Choice>
  </mc:AlternateContent>
  <xr:revisionPtr revIDLastSave="0" documentId="13_ncr:1_{A7897424-0A08-498C-B0C6-C3333B28AFAC}" xr6:coauthVersionLast="47" xr6:coauthVersionMax="47" xr10:uidLastSave="{00000000-0000-0000-0000-000000000000}"/>
  <bookViews>
    <workbookView xWindow="3675" yWindow="1410" windowWidth="20835" windowHeight="13335" xr2:uid="{00000000-000D-0000-FFFF-FFFF00000000}"/>
  </bookViews>
  <sheets>
    <sheet name="入力データ" sheetId="2" r:id="rId1"/>
    <sheet name="1" sheetId="1" r:id="rId2"/>
    <sheet name="2" sheetId="3" r:id="rId3"/>
    <sheet name="2-11" sheetId="40" r:id="rId4"/>
    <sheet name="2-22" sheetId="41" r:id="rId5"/>
    <sheet name="3" sheetId="19" r:id="rId6"/>
    <sheet name="3-11" sheetId="42" r:id="rId7"/>
    <sheet name="3-22" sheetId="43" r:id="rId8"/>
    <sheet name="4" sheetId="20" r:id="rId9"/>
    <sheet name="4-11" sheetId="45" r:id="rId10"/>
    <sheet name="4-22" sheetId="46" r:id="rId11"/>
    <sheet name="4-33" sheetId="47" r:id="rId12"/>
    <sheet name="5" sheetId="21" r:id="rId13"/>
    <sheet name="5-11" sheetId="48" r:id="rId14"/>
    <sheet name="6" sheetId="4" r:id="rId15"/>
    <sheet name="6 -11" sheetId="61" r:id="rId16"/>
    <sheet name="6 -22" sheetId="62" r:id="rId17"/>
    <sheet name="7" sheetId="5" r:id="rId18"/>
    <sheet name="7-11" sheetId="53" r:id="rId19"/>
    <sheet name="7-22" sheetId="59" r:id="rId20"/>
    <sheet name="8" sheetId="8" r:id="rId21"/>
    <sheet name="Sheet1" sheetId="66" r:id="rId22"/>
    <sheet name="8－11" sheetId="63" r:id="rId23"/>
    <sheet name="8－22" sheetId="64" r:id="rId24"/>
    <sheet name="8－33" sheetId="65" r:id="rId25"/>
    <sheet name="9" sheetId="60" r:id="rId26"/>
    <sheet name="10" sheetId="10" r:id="rId27"/>
    <sheet name="10 -マスターNo有" sheetId="57" r:id="rId28"/>
    <sheet name="Sheet2" sheetId="67" r:id="rId29"/>
    <sheet name="個性数" sheetId="18" state="hidden" r:id="rId30"/>
    <sheet name="体験ｽﾄｰﾘｰ" sheetId="23" state="hidden" r:id="rId31"/>
    <sheet name="天命数" sheetId="25" state="hidden" r:id="rId32"/>
    <sheet name="潜在数　課題・傾向" sheetId="24" state="hidden" r:id="rId33"/>
    <sheet name="未来のストーリー" sheetId="14" state="hidden" r:id="rId34"/>
    <sheet name="ｶﾗｰﾁｬｰﾄ・適職" sheetId="26" state="hidden" r:id="rId35"/>
    <sheet name="ｶﾗｰ・ｱﾛﾏ・ｽﾄｰﾝ" sheetId="12" state="hidden" r:id="rId36"/>
  </sheets>
  <definedNames>
    <definedName name="_xlnm.Print_Area" localSheetId="1">'1'!$A$1:$R$61</definedName>
    <definedName name="_xlnm.Print_Area" localSheetId="26">'10'!$A$1:$J$54</definedName>
    <definedName name="_xlnm.Print_Area" localSheetId="27">'10 -マスターNo有'!$A$1:$J$54</definedName>
    <definedName name="_xlnm.Print_Area" localSheetId="2">'2'!$A$1:$M$60</definedName>
    <definedName name="_xlnm.Print_Area" localSheetId="3">'2-11'!$A$1:$M$60</definedName>
    <definedName name="_xlnm.Print_Area" localSheetId="4">'2-22'!$A$1:$M$60</definedName>
    <definedName name="_xlnm.Print_Area" localSheetId="5">'3'!$A$1:$M$61</definedName>
    <definedName name="_xlnm.Print_Area" localSheetId="6">'3-11'!$A$1:$M$61</definedName>
    <definedName name="_xlnm.Print_Area" localSheetId="7">'3-22'!$A$1:$M$61</definedName>
    <definedName name="_xlnm.Print_Area" localSheetId="8">'4'!$A$1:$M$61</definedName>
    <definedName name="_xlnm.Print_Area" localSheetId="9">'4-11'!$A$1:$M$61</definedName>
    <definedName name="_xlnm.Print_Area" localSheetId="10">'4-22'!$A$1:$M$61</definedName>
    <definedName name="_xlnm.Print_Area" localSheetId="11">'4-33'!$A$1:$M$61</definedName>
    <definedName name="_xlnm.Print_Area" localSheetId="12">'5'!$A$1:$M$62</definedName>
    <definedName name="_xlnm.Print_Area" localSheetId="13">'5-11'!$A$1:$M$62</definedName>
    <definedName name="_xlnm.Print_Area" localSheetId="14">'6'!$A$1:$R$60</definedName>
    <definedName name="_xlnm.Print_Area" localSheetId="15">'6 -11'!$A$1:$R$60</definedName>
    <definedName name="_xlnm.Print_Area" localSheetId="16">'6 -22'!$A$1:$R$60</definedName>
    <definedName name="_xlnm.Print_Area" localSheetId="17">'7'!$A$1:$M$60</definedName>
    <definedName name="_xlnm.Print_Area" localSheetId="18">'7-11'!$A$1:$M$60</definedName>
    <definedName name="_xlnm.Print_Area" localSheetId="19">'7-22'!$A$1:$M$60</definedName>
    <definedName name="_xlnm.Print_Area" localSheetId="20">'8'!$A$1:$U$59</definedName>
    <definedName name="_xlnm.Print_Area" localSheetId="22">'8－11'!$A$1:$U$59</definedName>
    <definedName name="_xlnm.Print_Area" localSheetId="23">'8－22'!$A$1:$U$60</definedName>
    <definedName name="_xlnm.Print_Area" localSheetId="24">'8－33'!$A$1:$U$60</definedName>
    <definedName name="_xlnm.Print_Area" localSheetId="25">'9'!$A$1:$K$54</definedName>
    <definedName name="入力の順番">'9'!$S$15,'9'!$S$16,'9'!$T$14:$T$21,'9'!$N$30:$N$32,'9'!$N$37:$N$39,'9'!$R$45,'9'!$U$40:$U$47,'9'!$N$44:$N$49,'9'!$P$44:$P$49,'9'!$S$14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60" l="1"/>
  <c r="U22" i="2"/>
  <c r="U48" i="60"/>
  <c r="B52" i="65"/>
  <c r="B47" i="65"/>
  <c r="O40" i="65"/>
  <c r="G40" i="65"/>
  <c r="O37" i="65"/>
  <c r="G37" i="65"/>
  <c r="O34" i="65"/>
  <c r="G34" i="65"/>
  <c r="O31" i="65"/>
  <c r="G31" i="65"/>
  <c r="S5" i="65"/>
  <c r="B52" i="64"/>
  <c r="B47" i="64"/>
  <c r="O40" i="64"/>
  <c r="G40" i="64"/>
  <c r="O37" i="64"/>
  <c r="G37" i="64"/>
  <c r="O34" i="64"/>
  <c r="G34" i="64"/>
  <c r="O31" i="64"/>
  <c r="G31" i="64"/>
  <c r="S5" i="64"/>
  <c r="G40" i="63"/>
  <c r="S5" i="63"/>
  <c r="W28" i="2"/>
  <c r="Q29" i="2"/>
  <c r="W23" i="2"/>
  <c r="Q24" i="2"/>
  <c r="W20" i="2"/>
  <c r="Q19" i="2"/>
  <c r="I23" i="4"/>
  <c r="C19" i="10"/>
  <c r="O34" i="63"/>
  <c r="O40" i="63"/>
  <c r="G31" i="63"/>
  <c r="G37" i="63"/>
  <c r="B47" i="63"/>
  <c r="O31" i="63"/>
  <c r="O37" i="63"/>
  <c r="B52" i="63"/>
  <c r="G34" i="63"/>
  <c r="T22" i="60"/>
  <c r="F31" i="60"/>
  <c r="F32" i="60"/>
  <c r="F30" i="60"/>
  <c r="H27" i="59"/>
  <c r="B27" i="59"/>
  <c r="H27" i="53"/>
  <c r="B27" i="53"/>
  <c r="C51" i="62"/>
  <c r="C48" i="62"/>
  <c r="P15" i="62"/>
  <c r="O15" i="62"/>
  <c r="L15" i="62"/>
  <c r="K15" i="62"/>
  <c r="H15" i="62"/>
  <c r="G15" i="62"/>
  <c r="F15" i="62"/>
  <c r="E15" i="62"/>
  <c r="P14" i="62"/>
  <c r="O14" i="62"/>
  <c r="L14" i="62"/>
  <c r="K14" i="62"/>
  <c r="H14" i="62"/>
  <c r="G14" i="62"/>
  <c r="F14" i="62"/>
  <c r="E14" i="62"/>
  <c r="M5" i="62"/>
  <c r="C51" i="61"/>
  <c r="P15" i="61"/>
  <c r="O15" i="61"/>
  <c r="L15" i="61"/>
  <c r="K15" i="61"/>
  <c r="H15" i="61"/>
  <c r="G15" i="61"/>
  <c r="F15" i="61"/>
  <c r="E15" i="61"/>
  <c r="P14" i="61"/>
  <c r="O14" i="61"/>
  <c r="L14" i="61"/>
  <c r="K14" i="61"/>
  <c r="H14" i="61"/>
  <c r="G14" i="61"/>
  <c r="F14" i="61"/>
  <c r="E14" i="61"/>
  <c r="M5" i="61"/>
  <c r="C48" i="61"/>
  <c r="U23" i="2"/>
  <c r="X28" i="2"/>
  <c r="W29" i="2"/>
  <c r="U28" i="2"/>
  <c r="X23" i="2"/>
  <c r="X24" i="2"/>
  <c r="W24" i="2"/>
  <c r="X29" i="2"/>
  <c r="R29" i="2"/>
  <c r="U29" i="2"/>
  <c r="V29" i="2"/>
  <c r="P29" i="2"/>
  <c r="O29" i="2"/>
  <c r="U24" i="2"/>
  <c r="V24" i="2"/>
  <c r="P24" i="2"/>
  <c r="O24" i="2"/>
  <c r="D19" i="62"/>
  <c r="V28" i="2"/>
  <c r="Y28" i="2"/>
  <c r="Y29" i="2"/>
  <c r="R24" i="2"/>
  <c r="Y23" i="2"/>
  <c r="V23" i="2"/>
  <c r="D19" i="61"/>
  <c r="I19" i="62"/>
  <c r="I19" i="61"/>
  <c r="E19" i="62"/>
  <c r="E19" i="61"/>
  <c r="J19" i="62"/>
  <c r="J19" i="61"/>
  <c r="J21" i="62"/>
  <c r="J21" i="61"/>
  <c r="D21" i="62"/>
  <c r="D21" i="61"/>
  <c r="E21" i="62"/>
  <c r="E21" i="61"/>
  <c r="I21" i="62"/>
  <c r="I21" i="61"/>
  <c r="S29" i="2"/>
  <c r="S24" i="2"/>
  <c r="M21" i="62"/>
  <c r="M21" i="61"/>
  <c r="M19" i="62"/>
  <c r="M19" i="61"/>
  <c r="H49" i="60"/>
  <c r="B49" i="60"/>
  <c r="H48" i="60"/>
  <c r="B48" i="60"/>
  <c r="H47" i="60"/>
  <c r="B47" i="60"/>
  <c r="H46" i="60"/>
  <c r="B46" i="60"/>
  <c r="H45" i="60"/>
  <c r="B45" i="60"/>
  <c r="H44" i="60"/>
  <c r="B44" i="60"/>
  <c r="E39" i="60"/>
  <c r="C39" i="60"/>
  <c r="A39" i="60"/>
  <c r="E38" i="60"/>
  <c r="C38" i="60"/>
  <c r="A38" i="60"/>
  <c r="E37" i="60"/>
  <c r="C37" i="60"/>
  <c r="K25" i="60"/>
  <c r="J25" i="60"/>
  <c r="I25" i="60"/>
  <c r="H25" i="60"/>
  <c r="G25" i="60"/>
  <c r="F25" i="60"/>
  <c r="E25" i="60"/>
  <c r="D25" i="60"/>
  <c r="C25" i="60"/>
  <c r="I5" i="60"/>
  <c r="J5" i="59"/>
  <c r="H5" i="57"/>
  <c r="J5" i="53"/>
  <c r="B28" i="48"/>
  <c r="B23" i="48"/>
  <c r="J5" i="48"/>
  <c r="G54" i="47"/>
  <c r="J5" i="47"/>
  <c r="G54" i="46"/>
  <c r="J5" i="46"/>
  <c r="G54" i="45"/>
  <c r="J5" i="45"/>
  <c r="G54" i="43"/>
  <c r="J5" i="43"/>
  <c r="G54" i="42"/>
  <c r="J5" i="42"/>
  <c r="B37" i="47"/>
  <c r="B29" i="47"/>
  <c r="G50" i="47"/>
  <c r="B19" i="47"/>
  <c r="B37" i="46"/>
  <c r="B29" i="46"/>
  <c r="G50" i="46"/>
  <c r="B19" i="46"/>
  <c r="B37" i="45"/>
  <c r="G50" i="45"/>
  <c r="B29" i="45"/>
  <c r="B19" i="45"/>
  <c r="B37" i="43"/>
  <c r="B29" i="43"/>
  <c r="G50" i="43"/>
  <c r="B19" i="43"/>
  <c r="B29" i="42"/>
  <c r="B37" i="42"/>
  <c r="G50" i="42"/>
  <c r="B19" i="42"/>
  <c r="G54" i="41"/>
  <c r="G50" i="41"/>
  <c r="B37" i="41"/>
  <c r="B29" i="41"/>
  <c r="B19" i="41"/>
  <c r="J5" i="41"/>
  <c r="G50" i="40"/>
  <c r="J5" i="40"/>
  <c r="B19" i="40"/>
  <c r="G54" i="40"/>
  <c r="B29" i="40"/>
  <c r="B37" i="40"/>
  <c r="X20" i="2"/>
  <c r="R19" i="2"/>
  <c r="J23" i="4"/>
  <c r="J23" i="62"/>
  <c r="J23" i="61"/>
  <c r="X21" i="2"/>
  <c r="D22" i="57"/>
  <c r="A16" i="21"/>
  <c r="W21" i="2"/>
  <c r="Q29" i="1"/>
  <c r="D19" i="57"/>
  <c r="U20" i="2"/>
  <c r="U21" i="2"/>
  <c r="V21" i="2"/>
  <c r="P19" i="2"/>
  <c r="E23" i="4"/>
  <c r="O19" i="2"/>
  <c r="D23" i="4"/>
  <c r="V20" i="2"/>
  <c r="I23" i="61"/>
  <c r="I23" i="62"/>
  <c r="Y20" i="2"/>
  <c r="U49" i="60"/>
  <c r="N29" i="1"/>
  <c r="C16" i="10"/>
  <c r="V49" i="60"/>
  <c r="E23" i="62"/>
  <c r="E23" i="61"/>
  <c r="D23" i="62"/>
  <c r="D23" i="61"/>
  <c r="Y24" i="2"/>
  <c r="D13" i="57"/>
  <c r="A9" i="3"/>
  <c r="B29" i="3"/>
  <c r="J29" i="1"/>
  <c r="Y21" i="2"/>
  <c r="B19" i="3"/>
  <c r="I21" i="4"/>
  <c r="J5" i="21"/>
  <c r="J5" i="20"/>
  <c r="J5" i="19"/>
  <c r="B23" i="21"/>
  <c r="B28" i="21"/>
  <c r="C22" i="10"/>
  <c r="M21" i="4"/>
  <c r="J21" i="4"/>
  <c r="E21" i="4"/>
  <c r="D21" i="4"/>
  <c r="M19" i="4"/>
  <c r="J19" i="4"/>
  <c r="I19" i="4"/>
  <c r="E19" i="4"/>
  <c r="D19" i="4"/>
  <c r="H5" i="10"/>
  <c r="D22" i="10"/>
  <c r="S5" i="8"/>
  <c r="J5" i="5"/>
  <c r="M5" i="4"/>
  <c r="P15" i="4"/>
  <c r="O15" i="4"/>
  <c r="L15" i="4"/>
  <c r="K15" i="4"/>
  <c r="F15" i="4"/>
  <c r="G15" i="4"/>
  <c r="H15" i="4"/>
  <c r="E15" i="4"/>
  <c r="P14" i="4"/>
  <c r="O14" i="4"/>
  <c r="L14" i="4"/>
  <c r="K14" i="4"/>
  <c r="F14" i="4"/>
  <c r="G14" i="4"/>
  <c r="H14" i="4"/>
  <c r="E14" i="4"/>
  <c r="J5" i="3"/>
  <c r="B51" i="1"/>
  <c r="P6" i="1"/>
  <c r="O6" i="1"/>
  <c r="L6" i="1"/>
  <c r="K6" i="1"/>
  <c r="F6" i="1"/>
  <c r="G6" i="1"/>
  <c r="E6" i="1"/>
  <c r="D6" i="1"/>
  <c r="B37" i="1"/>
  <c r="D13" i="10"/>
  <c r="B37" i="3"/>
  <c r="G50" i="3"/>
  <c r="G54" i="3"/>
  <c r="A9" i="20"/>
  <c r="B37" i="20"/>
  <c r="C30" i="1"/>
  <c r="D19" i="10"/>
  <c r="S19" i="2"/>
  <c r="M23" i="4"/>
  <c r="A35" i="48"/>
  <c r="G35" i="48"/>
  <c r="M23" i="61"/>
  <c r="M23" i="62"/>
  <c r="D16" i="57"/>
  <c r="D25" i="57"/>
  <c r="C25" i="10"/>
  <c r="D25" i="10"/>
  <c r="R29" i="1"/>
  <c r="D51" i="1"/>
  <c r="D16" i="10"/>
  <c r="A35" i="21"/>
  <c r="G35" i="21"/>
  <c r="K30" i="8"/>
  <c r="B52" i="8"/>
  <c r="G54" i="20"/>
  <c r="B29" i="20"/>
  <c r="A9" i="19"/>
  <c r="B19" i="20"/>
  <c r="G50" i="20"/>
  <c r="C45" i="4"/>
  <c r="H27" i="5"/>
  <c r="B27" i="5"/>
  <c r="M29" i="1"/>
  <c r="D37" i="1"/>
  <c r="G37" i="8"/>
  <c r="O34" i="8"/>
  <c r="B47" i="8"/>
  <c r="G34" i="8"/>
  <c r="O40" i="8"/>
  <c r="G40" i="8"/>
  <c r="G31" i="8"/>
  <c r="O31" i="8"/>
  <c r="O37" i="8"/>
  <c r="C51" i="4"/>
  <c r="C48" i="4"/>
  <c r="G50" i="19"/>
  <c r="G54" i="19"/>
  <c r="B29" i="19"/>
  <c r="B19" i="19"/>
  <c r="B37"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PCUser</author>
  </authors>
  <commentList>
    <comment ref="R29" authorId="0" shapeId="0" xr:uid="{00000000-0006-0000-0E00-000001000000}">
      <text>
        <r>
          <rPr>
            <sz val="9"/>
            <color indexed="81"/>
            <rFont val="ＭＳ Ｐゴシック"/>
            <family val="3"/>
            <charset val="128"/>
          </rPr>
          <t xml:space="preserve">
ＰＣ入力で改行するときは、
Ａｌｔキーを押しながら　　Ｅｎｔｅｒキーを押す
上の表を見て、父または母からどういったものを引き継いでいるか、
家族としてどんな立ち位置にいるか等を入力してください。
※このコメント部分は自動的に印刷されないようになっています。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PCUser</author>
  </authors>
  <commentList>
    <comment ref="R29" authorId="0" shapeId="0" xr:uid="{00000000-0006-0000-0F00-000001000000}">
      <text>
        <r>
          <rPr>
            <sz val="9"/>
            <color indexed="81"/>
            <rFont val="ＭＳ Ｐゴシック"/>
            <family val="3"/>
            <charset val="128"/>
          </rPr>
          <t xml:space="preserve">
ＰＣ入力で改行するときは、
Ａｌｔキーを押しながら　　Ｅｎｔｅｒキーを押す
上の表を見て、父または母からどういったものを引き継いでいるか、
家族としてどんな立ち位置にいるか等を入力してください。
※このコメント部分は自動的に印刷されないようになっています。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PCUser</author>
  </authors>
  <commentList>
    <comment ref="R29" authorId="0" shapeId="0" xr:uid="{00000000-0006-0000-1000-000001000000}">
      <text>
        <r>
          <rPr>
            <sz val="9"/>
            <color indexed="81"/>
            <rFont val="ＭＳ Ｐゴシック"/>
            <family val="3"/>
            <charset val="128"/>
          </rPr>
          <t xml:space="preserve">
ＰＣ入力で改行するときは、
Ａｌｔキーを押しながら　　Ｅｎｔｅｒキーを押す
上の表を見て、父または母からどういったものを引き継いでいるか、
家族としてどんな立ち位置にいるか等を入力してください。
※このコメント部分は自動的に印刷されないようになっています。
</t>
        </r>
      </text>
    </comment>
  </commentList>
</comments>
</file>

<file path=xl/sharedStrings.xml><?xml version="1.0" encoding="utf-8"?>
<sst xmlns="http://schemas.openxmlformats.org/spreadsheetml/2006/main" count="1302" uniqueCount="667">
  <si>
    <t>※新規ボタンを押す</t>
    <rPh sb="1" eb="3">
      <t>シンキ</t>
    </rPh>
    <rPh sb="7" eb="8">
      <t>オ</t>
    </rPh>
    <phoneticPr fontId="1"/>
  </si>
  <si>
    <t>西暦が解る場合は直接赤枠に数字を入力してください。
解らない場合は黒枠に和暦（例　昭和○○年△月□日）と、入力してください</t>
    <rPh sb="0" eb="2">
      <t>セイレキ</t>
    </rPh>
    <rPh sb="3" eb="4">
      <t>ワカ</t>
    </rPh>
    <rPh sb="5" eb="7">
      <t>バアイ</t>
    </rPh>
    <rPh sb="8" eb="10">
      <t>チョクセツ</t>
    </rPh>
    <rPh sb="10" eb="11">
      <t>アカ</t>
    </rPh>
    <rPh sb="11" eb="12">
      <t>ワク</t>
    </rPh>
    <rPh sb="13" eb="15">
      <t>スウジ</t>
    </rPh>
    <rPh sb="16" eb="18">
      <t>ニュウリョク</t>
    </rPh>
    <rPh sb="26" eb="27">
      <t>ワカ</t>
    </rPh>
    <rPh sb="30" eb="32">
      <t>バアイ</t>
    </rPh>
    <rPh sb="33" eb="35">
      <t>クロワク</t>
    </rPh>
    <rPh sb="36" eb="38">
      <t>ワレキ</t>
    </rPh>
    <rPh sb="39" eb="40">
      <t>レイ</t>
    </rPh>
    <rPh sb="41" eb="43">
      <t>ショウワ</t>
    </rPh>
    <rPh sb="45" eb="46">
      <t>ネン</t>
    </rPh>
    <rPh sb="47" eb="48">
      <t>ガツ</t>
    </rPh>
    <rPh sb="49" eb="50">
      <t>ニチ</t>
    </rPh>
    <rPh sb="53" eb="55">
      <t>ニュウリョク</t>
    </rPh>
    <phoneticPr fontId="1"/>
  </si>
  <si>
    <t>①お客様のデータを入力してください。</t>
    <rPh sb="2" eb="4">
      <t>キャクサマ</t>
    </rPh>
    <rPh sb="9" eb="11">
      <t>ニュウリョク</t>
    </rPh>
    <phoneticPr fontId="1"/>
  </si>
  <si>
    <t>名前</t>
    <rPh sb="0" eb="2">
      <t>ナマエ</t>
    </rPh>
    <phoneticPr fontId="1"/>
  </si>
  <si>
    <t>宿命数</t>
    <rPh sb="0" eb="2">
      <t>シュクメイ</t>
    </rPh>
    <rPh sb="2" eb="3">
      <t>スウ</t>
    </rPh>
    <phoneticPr fontId="1"/>
  </si>
  <si>
    <t>潜在数</t>
  </si>
  <si>
    <t>誕生数</t>
    <rPh sb="0" eb="2">
      <t>タンジョウ</t>
    </rPh>
    <rPh sb="2" eb="3">
      <t>スウ</t>
    </rPh>
    <phoneticPr fontId="1"/>
  </si>
  <si>
    <t>使命数</t>
    <rPh sb="0" eb="2">
      <t>シメイ</t>
    </rPh>
    <rPh sb="2" eb="3">
      <t>スウ</t>
    </rPh>
    <phoneticPr fontId="1"/>
  </si>
  <si>
    <t>守護数</t>
    <rPh sb="0" eb="2">
      <t>シュゴ</t>
    </rPh>
    <rPh sb="2" eb="3">
      <t>スウ</t>
    </rPh>
    <phoneticPr fontId="1"/>
  </si>
  <si>
    <t>生年月日</t>
    <rPh sb="0" eb="4">
      <t>セイネンガッピ</t>
    </rPh>
    <phoneticPr fontId="1"/>
  </si>
  <si>
    <t>西暦検索</t>
    <rPh sb="0" eb="2">
      <t>セイレキ</t>
    </rPh>
    <rPh sb="2" eb="4">
      <t>ケンサク</t>
    </rPh>
    <phoneticPr fontId="1"/>
  </si>
  <si>
    <t>（父）</t>
    <rPh sb="1" eb="2">
      <t>チチ</t>
    </rPh>
    <phoneticPr fontId="1"/>
  </si>
  <si>
    <t>生年月日</t>
    <rPh sb="0" eb="2">
      <t>セイネン</t>
    </rPh>
    <rPh sb="2" eb="4">
      <t>ガッピ</t>
    </rPh>
    <phoneticPr fontId="1"/>
  </si>
  <si>
    <t>（母）</t>
    <rPh sb="1" eb="2">
      <t>ハハ</t>
    </rPh>
    <phoneticPr fontId="1"/>
  </si>
  <si>
    <t>②６ページに移動し、【父・母・あなた】の共通する数秘に○をつけてください。</t>
    <rPh sb="6" eb="8">
      <t>イドウ</t>
    </rPh>
    <rPh sb="11" eb="12">
      <t>チチ</t>
    </rPh>
    <rPh sb="13" eb="14">
      <t>ハハ</t>
    </rPh>
    <rPh sb="20" eb="22">
      <t>キョウツウ</t>
    </rPh>
    <rPh sb="24" eb="25">
      <t>スウ</t>
    </rPh>
    <rPh sb="25" eb="26">
      <t>ヒ</t>
    </rPh>
    <phoneticPr fontId="1"/>
  </si>
  <si>
    <t>③６ページ【父・母・あなた】の数秘についての感想・分析を入力してください。</t>
    <rPh sb="6" eb="7">
      <t>チチ</t>
    </rPh>
    <rPh sb="8" eb="9">
      <t>ハハ</t>
    </rPh>
    <rPh sb="15" eb="16">
      <t>スウ</t>
    </rPh>
    <rPh sb="16" eb="17">
      <t>ヒ</t>
    </rPh>
    <rPh sb="22" eb="24">
      <t>カンソウ</t>
    </rPh>
    <rPh sb="25" eb="27">
      <t>ブンセキ</t>
    </rPh>
    <rPh sb="28" eb="30">
      <t>ニュウリョク</t>
    </rPh>
    <phoneticPr fontId="1"/>
  </si>
  <si>
    <t>④９ページ【好転の波に乗る人生ストーリーの法則】のグラフを完成させてください。</t>
    <rPh sb="29" eb="31">
      <t>カンセイ</t>
    </rPh>
    <phoneticPr fontId="1"/>
  </si>
  <si>
    <t>　その他太枠を入力してください</t>
    <rPh sb="3" eb="4">
      <t>タ</t>
    </rPh>
    <rPh sb="4" eb="6">
      <t>フトワク</t>
    </rPh>
    <rPh sb="7" eb="9">
      <t>ニュウリョク</t>
    </rPh>
    <phoneticPr fontId="1"/>
  </si>
  <si>
    <t>⑤5つの数字のいずれかに11.22.33がある場合のみ　
　10－マスターＮｏ
　に、それぞれの数字を入力してください。</t>
    <rPh sb="4" eb="6">
      <t>スウジ</t>
    </rPh>
    <rPh sb="23" eb="25">
      <t>バアイ</t>
    </rPh>
    <rPh sb="48" eb="50">
      <t>スウジ</t>
    </rPh>
    <rPh sb="51" eb="53">
      <t>ニュウリョク</t>
    </rPh>
    <phoneticPr fontId="1"/>
  </si>
  <si>
    <t>⑥印刷
　11.22.33がある場合
　それぞれ該当する枝番号のシート（例　宿命が11なら2-11）と　10－マスターＮｏ
　それ以外は枝番なしのシートを印刷してください。</t>
    <rPh sb="1" eb="3">
      <t>インサツ</t>
    </rPh>
    <rPh sb="16" eb="18">
      <t>バアイ</t>
    </rPh>
    <rPh sb="24" eb="26">
      <t>ガイトウ</t>
    </rPh>
    <rPh sb="28" eb="29">
      <t>エダ</t>
    </rPh>
    <rPh sb="29" eb="31">
      <t>バンゴウ</t>
    </rPh>
    <rPh sb="36" eb="37">
      <t>レイ</t>
    </rPh>
    <rPh sb="38" eb="40">
      <t>シュクメイ</t>
    </rPh>
    <rPh sb="67" eb="69">
      <t>イガイ</t>
    </rPh>
    <rPh sb="70" eb="72">
      <t>エダバン</t>
    </rPh>
    <rPh sb="79" eb="81">
      <t>インサツ</t>
    </rPh>
    <phoneticPr fontId="1"/>
  </si>
  <si>
    <t>「好転のシナリオ」　人生ストーリーの法則</t>
    <rPh sb="1" eb="3">
      <t>コウテン</t>
    </rPh>
    <rPh sb="10" eb="12">
      <t>ジンセイ</t>
    </rPh>
    <rPh sb="18" eb="20">
      <t>ホウソク</t>
    </rPh>
    <phoneticPr fontId="1"/>
  </si>
  <si>
    <t>Ⓒ個性数秘学</t>
    <rPh sb="1" eb="3">
      <t>コセイ</t>
    </rPh>
    <rPh sb="3" eb="4">
      <t>スウ</t>
    </rPh>
    <rPh sb="4" eb="5">
      <t>ヒ</t>
    </rPh>
    <rPh sb="5" eb="6">
      <t>ガク</t>
    </rPh>
    <phoneticPr fontId="1"/>
  </si>
  <si>
    <t>◆　１</t>
    <phoneticPr fontId="1"/>
  </si>
  <si>
    <t>　　お名前</t>
    <rPh sb="3" eb="5">
      <t>ナマエ</t>
    </rPh>
    <phoneticPr fontId="1"/>
  </si>
  <si>
    <t>様</t>
    <rPh sb="0" eb="1">
      <t>サマ</t>
    </rPh>
    <phoneticPr fontId="1"/>
  </si>
  <si>
    <t>　　西暦　生年月日</t>
    <rPh sb="2" eb="4">
      <t>セイレキ</t>
    </rPh>
    <rPh sb="5" eb="7">
      <t>セイネン</t>
    </rPh>
    <rPh sb="7" eb="9">
      <t>ガッピ</t>
    </rPh>
    <phoneticPr fontId="1"/>
  </si>
  <si>
    <t>年</t>
    <rPh sb="0" eb="1">
      <t>ネン</t>
    </rPh>
    <phoneticPr fontId="1"/>
  </si>
  <si>
    <t>月</t>
    <rPh sb="0" eb="1">
      <t>ツキ</t>
    </rPh>
    <phoneticPr fontId="1"/>
  </si>
  <si>
    <t>日</t>
    <rPh sb="0" eb="1">
      <t>ヒ</t>
    </rPh>
    <phoneticPr fontId="1"/>
  </si>
  <si>
    <t>個性数秘学では、持って生まれた個性（宿命数）と、内面の学びの課題（潜在数）から、</t>
    <rPh sb="0" eb="2">
      <t>コセイ</t>
    </rPh>
    <rPh sb="2" eb="3">
      <t>スウ</t>
    </rPh>
    <rPh sb="3" eb="4">
      <t>ヒ</t>
    </rPh>
    <rPh sb="4" eb="5">
      <t>ガク</t>
    </rPh>
    <rPh sb="8" eb="9">
      <t>モ</t>
    </rPh>
    <rPh sb="11" eb="12">
      <t>ウ</t>
    </rPh>
    <rPh sb="15" eb="17">
      <t>コセイ</t>
    </rPh>
    <rPh sb="18" eb="20">
      <t>シュクメイ</t>
    </rPh>
    <rPh sb="20" eb="21">
      <t>スウ</t>
    </rPh>
    <rPh sb="24" eb="26">
      <t>ナイメン</t>
    </rPh>
    <rPh sb="27" eb="28">
      <t>マナ</t>
    </rPh>
    <rPh sb="30" eb="32">
      <t>カダイ</t>
    </rPh>
    <rPh sb="33" eb="35">
      <t>センザイ</t>
    </rPh>
    <rPh sb="35" eb="36">
      <t>スウ</t>
    </rPh>
    <phoneticPr fontId="1"/>
  </si>
  <si>
    <t>表だって見えるキャラクター（個性）が構成されていると捉え、それら３つの資質を「個性数」と呼びます。</t>
    <rPh sb="0" eb="1">
      <t>オモテ</t>
    </rPh>
    <rPh sb="4" eb="5">
      <t>ミ</t>
    </rPh>
    <rPh sb="14" eb="16">
      <t>コセイ</t>
    </rPh>
    <rPh sb="18" eb="20">
      <t>コウセイ</t>
    </rPh>
    <rPh sb="26" eb="27">
      <t>トラ</t>
    </rPh>
    <rPh sb="35" eb="37">
      <t>シシツ</t>
    </rPh>
    <rPh sb="39" eb="41">
      <t>コセイ</t>
    </rPh>
    <rPh sb="41" eb="42">
      <t>スウ</t>
    </rPh>
    <rPh sb="44" eb="45">
      <t>ヨ</t>
    </rPh>
    <phoneticPr fontId="1"/>
  </si>
  <si>
    <t>人生の目的（使命数）と、その使命をどのように実現していくか（守護数）の２つの資質は「天命数」と呼びます。</t>
    <rPh sb="0" eb="2">
      <t>ジンセイ</t>
    </rPh>
    <rPh sb="3" eb="5">
      <t>モクテキ</t>
    </rPh>
    <rPh sb="6" eb="8">
      <t>シメイ</t>
    </rPh>
    <rPh sb="8" eb="9">
      <t>スウ</t>
    </rPh>
    <rPh sb="14" eb="16">
      <t>シメイ</t>
    </rPh>
    <rPh sb="22" eb="24">
      <t>ジツゲン</t>
    </rPh>
    <rPh sb="30" eb="32">
      <t>シュゴ</t>
    </rPh>
    <rPh sb="32" eb="33">
      <t>スウ</t>
    </rPh>
    <rPh sb="38" eb="40">
      <t>シシツ</t>
    </rPh>
    <rPh sb="42" eb="44">
      <t>テンメイ</t>
    </rPh>
    <rPh sb="44" eb="45">
      <t>スウ</t>
    </rPh>
    <rPh sb="47" eb="48">
      <t>ヨ</t>
    </rPh>
    <phoneticPr fontId="1"/>
  </si>
  <si>
    <t>３つの数秘で構成されているあなたという個性が、</t>
    <rPh sb="3" eb="4">
      <t>スウ</t>
    </rPh>
    <rPh sb="4" eb="5">
      <t>ヒ</t>
    </rPh>
    <rPh sb="6" eb="8">
      <t>コウセイ</t>
    </rPh>
    <rPh sb="19" eb="21">
      <t>コセイ</t>
    </rPh>
    <phoneticPr fontId="1"/>
  </si>
  <si>
    <t>天命に向けてどのような道順を辿るかの筋書きは、持って生まれたお誕生日の数字の中に秘められています。</t>
    <rPh sb="0" eb="2">
      <t>テンメイ</t>
    </rPh>
    <rPh sb="3" eb="4">
      <t>ム</t>
    </rPh>
    <rPh sb="11" eb="13">
      <t>ミチジュン</t>
    </rPh>
    <rPh sb="14" eb="15">
      <t>タド</t>
    </rPh>
    <rPh sb="18" eb="20">
      <t>スジガ</t>
    </rPh>
    <rPh sb="23" eb="24">
      <t>モ</t>
    </rPh>
    <rPh sb="26" eb="27">
      <t>ウ</t>
    </rPh>
    <rPh sb="31" eb="34">
      <t>タンジョウビ</t>
    </rPh>
    <rPh sb="35" eb="37">
      <t>スウジ</t>
    </rPh>
    <rPh sb="38" eb="39">
      <t>ナカ</t>
    </rPh>
    <rPh sb="40" eb="41">
      <t>ヒ</t>
    </rPh>
    <phoneticPr fontId="1"/>
  </si>
  <si>
    <t>「人生ストーリーの法則」を理解することで「あなたが主役の人生」をいつでも始めることができ、</t>
    <rPh sb="1" eb="3">
      <t>ジンセイ</t>
    </rPh>
    <rPh sb="9" eb="11">
      <t>ホウソク</t>
    </rPh>
    <rPh sb="13" eb="15">
      <t>リカイ</t>
    </rPh>
    <rPh sb="25" eb="27">
      <t>シュヤク</t>
    </rPh>
    <rPh sb="28" eb="30">
      <t>ジンセイ</t>
    </rPh>
    <rPh sb="36" eb="37">
      <t>ハジ</t>
    </rPh>
    <phoneticPr fontId="1"/>
  </si>
  <si>
    <t>どんな課題も好転に変える「在り方」が身につきます。</t>
    <rPh sb="3" eb="5">
      <t>カダイ</t>
    </rPh>
    <rPh sb="6" eb="8">
      <t>コウテン</t>
    </rPh>
    <rPh sb="9" eb="10">
      <t>カ</t>
    </rPh>
    <rPh sb="13" eb="14">
      <t>ア</t>
    </rPh>
    <rPh sb="15" eb="16">
      <t>カタ</t>
    </rPh>
    <rPh sb="18" eb="19">
      <t>ミ</t>
    </rPh>
    <phoneticPr fontId="1"/>
  </si>
  <si>
    <t>あなたという個性は　　　　　　　　　　　　　　　　　　　　　　　　　　　　　　　　　　　　　　　　３つの資質から知ることができます</t>
    <rPh sb="56" eb="57">
      <t>シ</t>
    </rPh>
    <phoneticPr fontId="1"/>
  </si>
  <si>
    <t>人生ストーリー　　物語の５つのカギ　　　　　　　　　　（パーソナルナンバー）</t>
    <rPh sb="0" eb="2">
      <t>ジンセイ</t>
    </rPh>
    <rPh sb="9" eb="11">
      <t>モノガタリ</t>
    </rPh>
    <phoneticPr fontId="1"/>
  </si>
  <si>
    <t>潜在数</t>
    <rPh sb="0" eb="2">
      <t>センザイ</t>
    </rPh>
    <rPh sb="2" eb="3">
      <t>スウ</t>
    </rPh>
    <phoneticPr fontId="1"/>
  </si>
  <si>
    <t>誕生数</t>
  </si>
  <si>
    <t>表だって見えやすい資質</t>
    <rPh sb="0" eb="1">
      <t>オモテ</t>
    </rPh>
    <rPh sb="4" eb="5">
      <t>ミ</t>
    </rPh>
    <rPh sb="9" eb="11">
      <t>シシツ</t>
    </rPh>
    <phoneticPr fontId="1"/>
  </si>
  <si>
    <t>キャラクター</t>
    <phoneticPr fontId="1"/>
  </si>
  <si>
    <t>個性を表す３つの数字</t>
    <rPh sb="0" eb="2">
      <t>コセイ</t>
    </rPh>
    <rPh sb="3" eb="4">
      <t>アラワ</t>
    </rPh>
    <rPh sb="8" eb="10">
      <t>スウジ</t>
    </rPh>
    <phoneticPr fontId="1"/>
  </si>
  <si>
    <r>
      <t xml:space="preserve"> 宿命数… </t>
    </r>
    <r>
      <rPr>
        <sz val="9"/>
        <color theme="1"/>
        <rFont val="ＭＳ Ｐゴシック"/>
        <family val="3"/>
        <charset val="128"/>
        <scheme val="minor"/>
      </rPr>
      <t>生まれ持った資質・才能</t>
    </r>
    <rPh sb="1" eb="3">
      <t>シュクメイ</t>
    </rPh>
    <rPh sb="3" eb="4">
      <t>スウ</t>
    </rPh>
    <rPh sb="6" eb="7">
      <t>ウ</t>
    </rPh>
    <rPh sb="9" eb="10">
      <t>モ</t>
    </rPh>
    <rPh sb="12" eb="14">
      <t>シシツ</t>
    </rPh>
    <rPh sb="15" eb="17">
      <t>サイノウ</t>
    </rPh>
    <phoneticPr fontId="1"/>
  </si>
  <si>
    <t xml:space="preserve"> 潜在数… 潜在的な資質・課題（ﾌﾞﾛｯｸ）</t>
    <rPh sb="1" eb="3">
      <t>センザイ</t>
    </rPh>
    <rPh sb="3" eb="4">
      <t>スウ</t>
    </rPh>
    <rPh sb="6" eb="9">
      <t>センザイテキ</t>
    </rPh>
    <rPh sb="10" eb="12">
      <t>シシツ</t>
    </rPh>
    <rPh sb="13" eb="15">
      <t>カダイ</t>
    </rPh>
    <phoneticPr fontId="1"/>
  </si>
  <si>
    <t xml:space="preserve"> 誕生数… 表だって見えやすい資質</t>
    <rPh sb="1" eb="3">
      <t>タンジョウ</t>
    </rPh>
    <rPh sb="3" eb="4">
      <t>スウ</t>
    </rPh>
    <rPh sb="6" eb="7">
      <t>オモテ</t>
    </rPh>
    <rPh sb="10" eb="11">
      <t>ミ</t>
    </rPh>
    <rPh sb="15" eb="17">
      <t>シシツ</t>
    </rPh>
    <phoneticPr fontId="1"/>
  </si>
  <si>
    <t>目的を表す２つの数字</t>
    <rPh sb="0" eb="2">
      <t>モクテキ</t>
    </rPh>
    <rPh sb="3" eb="4">
      <t>アラワ</t>
    </rPh>
    <rPh sb="8" eb="10">
      <t>スウジ</t>
    </rPh>
    <phoneticPr fontId="1"/>
  </si>
  <si>
    <r>
      <t xml:space="preserve"> 使命数… </t>
    </r>
    <r>
      <rPr>
        <sz val="9"/>
        <color theme="1"/>
        <rFont val="ＭＳ Ｐゴシック"/>
        <family val="3"/>
        <charset val="128"/>
        <scheme val="minor"/>
      </rPr>
      <t>人生の目的（何のために）</t>
    </r>
    <rPh sb="1" eb="3">
      <t>シメイ</t>
    </rPh>
    <rPh sb="3" eb="4">
      <t>スウ</t>
    </rPh>
    <rPh sb="6" eb="8">
      <t>ジンセイ</t>
    </rPh>
    <rPh sb="9" eb="11">
      <t>モクテキ</t>
    </rPh>
    <rPh sb="12" eb="13">
      <t>ナン</t>
    </rPh>
    <phoneticPr fontId="1"/>
  </si>
  <si>
    <t xml:space="preserve"> 守護数… 具体的な行動（どうする）</t>
    <rPh sb="1" eb="3">
      <t>シュゴ</t>
    </rPh>
    <rPh sb="3" eb="4">
      <t>スウ</t>
    </rPh>
    <rPh sb="4" eb="5">
      <t>ゲンスウ</t>
    </rPh>
    <rPh sb="6" eb="9">
      <t>グタイテキ</t>
    </rPh>
    <rPh sb="10" eb="12">
      <t>コウドウ</t>
    </rPh>
    <phoneticPr fontId="1"/>
  </si>
  <si>
    <t>　　使命天命</t>
    <rPh sb="2" eb="4">
      <t>シメイ</t>
    </rPh>
    <rPh sb="4" eb="6">
      <t>テンメイ</t>
    </rPh>
    <phoneticPr fontId="1"/>
  </si>
  <si>
    <t>　　　　　　　または、得られる成果</t>
    <rPh sb="11" eb="12">
      <t>エ</t>
    </rPh>
    <rPh sb="15" eb="17">
      <t>セイカ</t>
    </rPh>
    <phoneticPr fontId="1"/>
  </si>
  <si>
    <t>宿命数</t>
  </si>
  <si>
    <t>　※天命とは生まれながらにあなたが天と誓った生き方・約束です</t>
    <rPh sb="2" eb="4">
      <t>テンメイ</t>
    </rPh>
    <rPh sb="6" eb="7">
      <t>ウ</t>
    </rPh>
    <rPh sb="17" eb="18">
      <t>テン</t>
    </rPh>
    <rPh sb="19" eb="20">
      <t>チカ</t>
    </rPh>
    <rPh sb="22" eb="23">
      <t>イ</t>
    </rPh>
    <rPh sb="24" eb="25">
      <t>カタ</t>
    </rPh>
    <rPh sb="26" eb="28">
      <t>ヤクソク</t>
    </rPh>
    <phoneticPr fontId="1"/>
  </si>
  <si>
    <t>生まれ持った得意分野</t>
    <rPh sb="0" eb="1">
      <t>ウ</t>
    </rPh>
    <rPh sb="3" eb="4">
      <t>モ</t>
    </rPh>
    <rPh sb="6" eb="8">
      <t>トクイ</t>
    </rPh>
    <rPh sb="8" eb="10">
      <t>ブンヤ</t>
    </rPh>
    <phoneticPr fontId="1"/>
  </si>
  <si>
    <t>自分では気づきにくい資質</t>
    <rPh sb="0" eb="2">
      <t>ジブン</t>
    </rPh>
    <rPh sb="4" eb="5">
      <t>キ</t>
    </rPh>
    <rPh sb="10" eb="12">
      <t>シシツ</t>
    </rPh>
    <phoneticPr fontId="1"/>
  </si>
  <si>
    <t>基本となる資質</t>
    <rPh sb="0" eb="2">
      <t>キホン</t>
    </rPh>
    <rPh sb="5" eb="7">
      <t>シシツ</t>
    </rPh>
    <phoneticPr fontId="1"/>
  </si>
  <si>
    <t>ブレーキになりやすい・課題</t>
    <rPh sb="11" eb="13">
      <t>カダイ</t>
    </rPh>
    <phoneticPr fontId="1"/>
  </si>
  <si>
    <t>人生の目的とその具体策　　　　　　　　　　　　　　　　　２つの資質で使命天命に向かいます</t>
    <rPh sb="0" eb="2">
      <t>ジンセイ</t>
    </rPh>
    <rPh sb="3" eb="5">
      <t>モクテキ</t>
    </rPh>
    <rPh sb="8" eb="10">
      <t>グタイ</t>
    </rPh>
    <rPh sb="10" eb="11">
      <t>サク</t>
    </rPh>
    <rPh sb="34" eb="36">
      <t>シメイ</t>
    </rPh>
    <rPh sb="39" eb="40">
      <t>ム</t>
    </rPh>
    <phoneticPr fontId="1"/>
  </si>
  <si>
    <t xml:space="preserve"> ３つの資質「個性数」を持ったあなたがどんな人生の目的を持ち、</t>
    <rPh sb="4" eb="6">
      <t>シシツ</t>
    </rPh>
    <rPh sb="7" eb="9">
      <t>コセイ</t>
    </rPh>
    <rPh sb="9" eb="10">
      <t>スウ</t>
    </rPh>
    <rPh sb="12" eb="13">
      <t>モ</t>
    </rPh>
    <rPh sb="22" eb="24">
      <t>ジンセイ</t>
    </rPh>
    <rPh sb="25" eb="27">
      <t>モクテキ</t>
    </rPh>
    <rPh sb="28" eb="29">
      <t>モ</t>
    </rPh>
    <phoneticPr fontId="1"/>
  </si>
  <si>
    <t xml:space="preserve"> どのように行動することで世の中にどう貢献でき、</t>
    <rPh sb="6" eb="8">
      <t>コウドウ</t>
    </rPh>
    <rPh sb="13" eb="14">
      <t>ヨ</t>
    </rPh>
    <rPh sb="15" eb="16">
      <t>ナカ</t>
    </rPh>
    <rPh sb="19" eb="21">
      <t>コウケン</t>
    </rPh>
    <phoneticPr fontId="1"/>
  </si>
  <si>
    <t xml:space="preserve"> その結果どんな成果を受け取ることができるか。</t>
    <rPh sb="3" eb="5">
      <t>ケッカ</t>
    </rPh>
    <rPh sb="8" eb="10">
      <t>セイカ</t>
    </rPh>
    <rPh sb="11" eb="12">
      <t>ウ</t>
    </rPh>
    <rPh sb="13" eb="14">
      <t>ト</t>
    </rPh>
    <phoneticPr fontId="1"/>
  </si>
  <si>
    <t xml:space="preserve"> 人生ストーリーの方向性・指針がここに描かれています。</t>
    <rPh sb="1" eb="3">
      <t>ジンセイ</t>
    </rPh>
    <rPh sb="9" eb="12">
      <t>ホウコウセイ</t>
    </rPh>
    <rPh sb="13" eb="15">
      <t>シシン</t>
    </rPh>
    <rPh sb="19" eb="20">
      <t>エガ</t>
    </rPh>
    <phoneticPr fontId="1"/>
  </si>
  <si>
    <t>人生の目的・使命（志事）</t>
    <rPh sb="0" eb="2">
      <t>ジンセイ</t>
    </rPh>
    <rPh sb="3" eb="5">
      <t>モクテキ</t>
    </rPh>
    <rPh sb="6" eb="8">
      <t>シメイ</t>
    </rPh>
    <rPh sb="9" eb="10">
      <t>シ</t>
    </rPh>
    <rPh sb="10" eb="11">
      <t>ゴト</t>
    </rPh>
    <phoneticPr fontId="1"/>
  </si>
  <si>
    <t>使命を果たすための具体的な行動。</t>
    <rPh sb="0" eb="2">
      <t>シメイ</t>
    </rPh>
    <rPh sb="3" eb="4">
      <t>ハ</t>
    </rPh>
    <rPh sb="9" eb="12">
      <t>グタイテキ</t>
    </rPh>
    <rPh sb="13" eb="15">
      <t>コウドウ</t>
    </rPh>
    <phoneticPr fontId="1"/>
  </si>
  <si>
    <t>または、その結果どうなるか。</t>
    <rPh sb="6" eb="8">
      <t>ケッカ</t>
    </rPh>
    <phoneticPr fontId="1"/>
  </si>
  <si>
    <t>　</t>
    <phoneticPr fontId="1"/>
  </si>
  <si>
    <t>◆　２</t>
    <phoneticPr fontId="1"/>
  </si>
  <si>
    <t>宿　命　数</t>
    <rPh sb="0" eb="1">
      <t>ヤド</t>
    </rPh>
    <rPh sb="2" eb="3">
      <t>イノチ</t>
    </rPh>
    <rPh sb="4" eb="5">
      <t>スウ</t>
    </rPh>
    <phoneticPr fontId="1"/>
  </si>
  <si>
    <t>努力しなくてもできてしまう得意分野・才能</t>
    <rPh sb="0" eb="2">
      <t>ドリョク</t>
    </rPh>
    <rPh sb="13" eb="15">
      <t>トクイ</t>
    </rPh>
    <rPh sb="15" eb="17">
      <t>ブンヤ</t>
    </rPh>
    <rPh sb="18" eb="20">
      <t>サイノウ</t>
    </rPh>
    <phoneticPr fontId="1"/>
  </si>
  <si>
    <t>生まれ持った資質</t>
    <rPh sb="0" eb="1">
      <t>ウ</t>
    </rPh>
    <rPh sb="3" eb="4">
      <t>モ</t>
    </rPh>
    <rPh sb="6" eb="8">
      <t>シシツ</t>
    </rPh>
    <phoneticPr fontId="1"/>
  </si>
  <si>
    <t>基本となる資質・個性</t>
    <rPh sb="0" eb="2">
      <t>キホン</t>
    </rPh>
    <rPh sb="5" eb="7">
      <t>シシツ</t>
    </rPh>
    <rPh sb="8" eb="10">
      <t>コセイ</t>
    </rPh>
    <phoneticPr fontId="1"/>
  </si>
  <si>
    <t>同じ親から生まれても、持って生まれた最初の数秘（宿命数）により、</t>
    <rPh sb="0" eb="1">
      <t>オナ</t>
    </rPh>
    <rPh sb="2" eb="3">
      <t>オヤ</t>
    </rPh>
    <rPh sb="5" eb="6">
      <t>ウ</t>
    </rPh>
    <rPh sb="11" eb="12">
      <t>モ</t>
    </rPh>
    <rPh sb="14" eb="15">
      <t>ウ</t>
    </rPh>
    <rPh sb="18" eb="20">
      <t>サイショ</t>
    </rPh>
    <rPh sb="21" eb="22">
      <t>スウ</t>
    </rPh>
    <rPh sb="22" eb="23">
      <t>ヒ</t>
    </rPh>
    <rPh sb="24" eb="26">
      <t>シュクメイ</t>
    </rPh>
    <rPh sb="26" eb="27">
      <t>スウ</t>
    </rPh>
    <phoneticPr fontId="1"/>
  </si>
  <si>
    <t>幼少期での物事のとらえ方、感じ方はすでに違っています。</t>
    <rPh sb="0" eb="3">
      <t>ヨウショウキ</t>
    </rPh>
    <rPh sb="5" eb="7">
      <t>モノゴト</t>
    </rPh>
    <rPh sb="11" eb="12">
      <t>カタ</t>
    </rPh>
    <rPh sb="13" eb="14">
      <t>カン</t>
    </rPh>
    <rPh sb="15" eb="16">
      <t>カタ</t>
    </rPh>
    <rPh sb="20" eb="21">
      <t>チガ</t>
    </rPh>
    <phoneticPr fontId="1"/>
  </si>
  <si>
    <t>　　　  基本となる持って生まれた個性</t>
    <phoneticPr fontId="1"/>
  </si>
  <si>
    <t>　　　　個性が過剰に働いた場合</t>
    <rPh sb="4" eb="6">
      <t>コセイ</t>
    </rPh>
    <rPh sb="7" eb="9">
      <t>カジョウ</t>
    </rPh>
    <rPh sb="10" eb="11">
      <t>ハタラ</t>
    </rPh>
    <rPh sb="13" eb="15">
      <t>バアイ</t>
    </rPh>
    <phoneticPr fontId="1"/>
  </si>
  <si>
    <t>　　　　個性が過少に傾いた場合</t>
    <rPh sb="4" eb="6">
      <t>コセイ</t>
    </rPh>
    <rPh sb="7" eb="9">
      <t>カショウ</t>
    </rPh>
    <rPh sb="10" eb="11">
      <t>カタム</t>
    </rPh>
    <rPh sb="13" eb="15">
      <t>バアイ</t>
    </rPh>
    <phoneticPr fontId="1"/>
  </si>
  <si>
    <t>人生ストーリーの法則</t>
    <rPh sb="0" eb="2">
      <t>ジンセイ</t>
    </rPh>
    <rPh sb="8" eb="10">
      <t>ホウソク</t>
    </rPh>
    <phoneticPr fontId="1"/>
  </si>
  <si>
    <t>体験する物語のテーマ＆質問</t>
    <rPh sb="0" eb="2">
      <t>タイケン</t>
    </rPh>
    <rPh sb="4" eb="6">
      <t>モノガタリ</t>
    </rPh>
    <rPh sb="11" eb="13">
      <t>シツモン</t>
    </rPh>
    <phoneticPr fontId="1"/>
  </si>
  <si>
    <t>生まれ持った基本となる個性</t>
    <rPh sb="0" eb="1">
      <t>ウ</t>
    </rPh>
    <rPh sb="3" eb="4">
      <t>モ</t>
    </rPh>
    <rPh sb="6" eb="8">
      <t>キホン</t>
    </rPh>
    <rPh sb="11" eb="13">
      <t>コセイ</t>
    </rPh>
    <phoneticPr fontId="1"/>
  </si>
  <si>
    <t>人生ストーリーのテーマ</t>
    <rPh sb="0" eb="2">
      <t>ジンセイ</t>
    </rPh>
    <phoneticPr fontId="1"/>
  </si>
  <si>
    <t>＆質問</t>
    <rPh sb="1" eb="3">
      <t>シツモン</t>
    </rPh>
    <phoneticPr fontId="1"/>
  </si>
  <si>
    <t>◆　３</t>
    <phoneticPr fontId="1"/>
  </si>
  <si>
    <t>潜　在　数</t>
    <rPh sb="0" eb="1">
      <t>セン</t>
    </rPh>
    <rPh sb="2" eb="3">
      <t>ザイ</t>
    </rPh>
    <rPh sb="4" eb="5">
      <t>スウ</t>
    </rPh>
    <phoneticPr fontId="1"/>
  </si>
  <si>
    <t>自分では気がつかない潜在的な資質＆課題</t>
    <rPh sb="0" eb="2">
      <t>ジブン</t>
    </rPh>
    <rPh sb="4" eb="5">
      <t>キ</t>
    </rPh>
    <rPh sb="10" eb="13">
      <t>センザイテキ</t>
    </rPh>
    <rPh sb="14" eb="16">
      <t>シシツ</t>
    </rPh>
    <rPh sb="17" eb="19">
      <t>カダイ</t>
    </rPh>
    <phoneticPr fontId="1"/>
  </si>
  <si>
    <t>乗り越えたい課題・テーマ</t>
    <rPh sb="0" eb="1">
      <t>ノ</t>
    </rPh>
    <rPh sb="2" eb="3">
      <t>コ</t>
    </rPh>
    <rPh sb="6" eb="8">
      <t>カダイ</t>
    </rPh>
    <phoneticPr fontId="1"/>
  </si>
  <si>
    <t>ブレーキとなる傾向</t>
    <rPh sb="7" eb="9">
      <t>ケイコウ</t>
    </rPh>
    <phoneticPr fontId="1"/>
  </si>
  <si>
    <t>使命を成す為の強力な潜在能力</t>
    <rPh sb="0" eb="2">
      <t>シメイ</t>
    </rPh>
    <rPh sb="3" eb="4">
      <t>ナ</t>
    </rPh>
    <rPh sb="5" eb="6">
      <t>タメ</t>
    </rPh>
    <rPh sb="7" eb="9">
      <t>キョウリョク</t>
    </rPh>
    <rPh sb="10" eb="12">
      <t>センザイ</t>
    </rPh>
    <rPh sb="12" eb="14">
      <t>ノウリョク</t>
    </rPh>
    <phoneticPr fontId="1"/>
  </si>
  <si>
    <t>自分では気づいていない潜在的な資質</t>
    <rPh sb="0" eb="2">
      <t>ジブン</t>
    </rPh>
    <rPh sb="4" eb="5">
      <t>キ</t>
    </rPh>
    <rPh sb="11" eb="14">
      <t>センザイテキ</t>
    </rPh>
    <rPh sb="15" eb="17">
      <t>シシツ</t>
    </rPh>
    <phoneticPr fontId="1"/>
  </si>
  <si>
    <t>成長過程で家庭、学校で味わう課題</t>
    <rPh sb="0" eb="2">
      <t>セイチョウ</t>
    </rPh>
    <rPh sb="2" eb="4">
      <t>カテイ</t>
    </rPh>
    <rPh sb="5" eb="7">
      <t>カテイ</t>
    </rPh>
    <rPh sb="8" eb="10">
      <t>ガッコウ</t>
    </rPh>
    <rPh sb="11" eb="12">
      <t>アジ</t>
    </rPh>
    <rPh sb="14" eb="16">
      <t>カダイ</t>
    </rPh>
    <phoneticPr fontId="1"/>
  </si>
  <si>
    <t>　　　潜在的な領域にある得意分野・個性</t>
    <rPh sb="3" eb="6">
      <t>センザイテキ</t>
    </rPh>
    <rPh sb="7" eb="9">
      <t>リョウイキ</t>
    </rPh>
    <rPh sb="12" eb="14">
      <t>トクイ</t>
    </rPh>
    <rPh sb="14" eb="16">
      <t>ブンヤ</t>
    </rPh>
    <rPh sb="17" eb="19">
      <t>コセイ</t>
    </rPh>
    <phoneticPr fontId="1"/>
  </si>
  <si>
    <t>　　　個性が過剰に働いた場合</t>
    <rPh sb="3" eb="5">
      <t>コセイ</t>
    </rPh>
    <rPh sb="6" eb="8">
      <t>カジョウ</t>
    </rPh>
    <rPh sb="9" eb="10">
      <t>ハタラ</t>
    </rPh>
    <rPh sb="12" eb="14">
      <t>バアイ</t>
    </rPh>
    <phoneticPr fontId="1"/>
  </si>
  <si>
    <t>　　　個性が過少に傾いた場合</t>
    <rPh sb="3" eb="5">
      <t>コセイ</t>
    </rPh>
    <rPh sb="6" eb="8">
      <t>カショウ</t>
    </rPh>
    <rPh sb="9" eb="10">
      <t>カタム</t>
    </rPh>
    <rPh sb="12" eb="14">
      <t>バアイ</t>
    </rPh>
    <phoneticPr fontId="1"/>
  </si>
  <si>
    <t>体験する物語のテーマ＆質問</t>
    <rPh sb="11" eb="13">
      <t>シツモン</t>
    </rPh>
    <phoneticPr fontId="1"/>
  </si>
  <si>
    <t>潜在意識の自分を知る為の</t>
    <rPh sb="0" eb="2">
      <t>センザイ</t>
    </rPh>
    <rPh sb="2" eb="4">
      <t>イシキ</t>
    </rPh>
    <rPh sb="5" eb="7">
      <t>ジブン</t>
    </rPh>
    <rPh sb="8" eb="9">
      <t>シ</t>
    </rPh>
    <rPh sb="10" eb="11">
      <t>タメ</t>
    </rPh>
    <phoneticPr fontId="1"/>
  </si>
  <si>
    <t>　　　　　</t>
    <phoneticPr fontId="1"/>
  </si>
  <si>
    <t>　　　　</t>
    <phoneticPr fontId="1"/>
  </si>
  <si>
    <t>◆　４</t>
    <phoneticPr fontId="1"/>
  </si>
  <si>
    <t>誕　生　数</t>
    <rPh sb="0" eb="1">
      <t>タン</t>
    </rPh>
    <rPh sb="2" eb="3">
      <t>セイ</t>
    </rPh>
    <rPh sb="4" eb="5">
      <t>スウ</t>
    </rPh>
    <phoneticPr fontId="1"/>
  </si>
  <si>
    <t>表だって見える資質</t>
    <rPh sb="0" eb="1">
      <t>オモテ</t>
    </rPh>
    <rPh sb="4" eb="5">
      <t>ミ</t>
    </rPh>
    <rPh sb="7" eb="9">
      <t>シシツ</t>
    </rPh>
    <phoneticPr fontId="1"/>
  </si>
  <si>
    <t>自分でも意識している、または、</t>
    <rPh sb="0" eb="2">
      <t>ジブン</t>
    </rPh>
    <rPh sb="4" eb="6">
      <t>イシキ</t>
    </rPh>
    <phoneticPr fontId="1"/>
  </si>
  <si>
    <t>他者があなたに抱くキャラクターイメージ</t>
    <rPh sb="0" eb="2">
      <t>タシャ</t>
    </rPh>
    <rPh sb="7" eb="8">
      <t>イダ</t>
    </rPh>
    <phoneticPr fontId="1"/>
  </si>
  <si>
    <t>ある程度成長した個性</t>
    <rPh sb="2" eb="4">
      <t>テイド</t>
    </rPh>
    <rPh sb="4" eb="6">
      <t>セイチョウ</t>
    </rPh>
    <rPh sb="8" eb="10">
      <t>コセイ</t>
    </rPh>
    <phoneticPr fontId="1"/>
  </si>
  <si>
    <t>（個性＝持って生まれた宿命数＋潜在に隠れている潜在数＋表だって見える誕生数）</t>
    <rPh sb="1" eb="3">
      <t>コセイ</t>
    </rPh>
    <rPh sb="4" eb="5">
      <t>モ</t>
    </rPh>
    <rPh sb="7" eb="8">
      <t>ウ</t>
    </rPh>
    <rPh sb="11" eb="13">
      <t>シュクメイ</t>
    </rPh>
    <rPh sb="13" eb="14">
      <t>スウ</t>
    </rPh>
    <rPh sb="15" eb="17">
      <t>センザイ</t>
    </rPh>
    <rPh sb="18" eb="19">
      <t>カク</t>
    </rPh>
    <rPh sb="23" eb="25">
      <t>センザイ</t>
    </rPh>
    <rPh sb="25" eb="26">
      <t>スウ</t>
    </rPh>
    <rPh sb="27" eb="28">
      <t>オモテ</t>
    </rPh>
    <rPh sb="31" eb="32">
      <t>ミ</t>
    </rPh>
    <rPh sb="34" eb="36">
      <t>タンジョウ</t>
    </rPh>
    <rPh sb="36" eb="37">
      <t>スウ</t>
    </rPh>
    <phoneticPr fontId="1"/>
  </si>
  <si>
    <t>　　　表だって見える得意分野・個性</t>
    <rPh sb="3" eb="4">
      <t>オモテ</t>
    </rPh>
    <rPh sb="7" eb="8">
      <t>ミ</t>
    </rPh>
    <rPh sb="10" eb="12">
      <t>トクイ</t>
    </rPh>
    <rPh sb="12" eb="14">
      <t>ブンヤ</t>
    </rPh>
    <rPh sb="15" eb="17">
      <t>コセイ</t>
    </rPh>
    <phoneticPr fontId="1"/>
  </si>
  <si>
    <t>表立ったキャラクターを知る為の</t>
    <rPh sb="0" eb="2">
      <t>オモテダ</t>
    </rPh>
    <rPh sb="11" eb="12">
      <t>シ</t>
    </rPh>
    <rPh sb="13" eb="14">
      <t>タメ</t>
    </rPh>
    <phoneticPr fontId="1"/>
  </si>
  <si>
    <t>　　　</t>
    <phoneticPr fontId="1"/>
  </si>
  <si>
    <t>　　</t>
    <phoneticPr fontId="1"/>
  </si>
  <si>
    <t>◆　５</t>
    <phoneticPr fontId="1"/>
  </si>
  <si>
    <t>３つの主な数秘で構成されたあなたという個性が</t>
    <rPh sb="3" eb="4">
      <t>オモ</t>
    </rPh>
    <rPh sb="5" eb="6">
      <t>スウ</t>
    </rPh>
    <rPh sb="6" eb="7">
      <t>ヒ</t>
    </rPh>
    <rPh sb="8" eb="10">
      <t>コウセイ</t>
    </rPh>
    <rPh sb="19" eb="21">
      <t>コセイ</t>
    </rPh>
    <phoneticPr fontId="1"/>
  </si>
  <si>
    <t>「何のために何をして生きるのか」それがどう世の中に役立つのか…。</t>
    <rPh sb="1" eb="2">
      <t>ナン</t>
    </rPh>
    <rPh sb="6" eb="7">
      <t>ナニ</t>
    </rPh>
    <rPh sb="10" eb="11">
      <t>イ</t>
    </rPh>
    <rPh sb="21" eb="22">
      <t>ヨ</t>
    </rPh>
    <rPh sb="23" eb="24">
      <t>ナカ</t>
    </rPh>
    <rPh sb="25" eb="27">
      <t>ヤクダ</t>
    </rPh>
    <phoneticPr fontId="1"/>
  </si>
  <si>
    <t>生まれる前に自分で決めてきた天との約束が「使命数」「守護数」に秘められています。</t>
    <rPh sb="0" eb="1">
      <t>ウ</t>
    </rPh>
    <rPh sb="4" eb="5">
      <t>マエ</t>
    </rPh>
    <rPh sb="6" eb="8">
      <t>ジブン</t>
    </rPh>
    <rPh sb="9" eb="10">
      <t>キ</t>
    </rPh>
    <rPh sb="14" eb="15">
      <t>テン</t>
    </rPh>
    <rPh sb="17" eb="19">
      <t>ヤクソク</t>
    </rPh>
    <rPh sb="21" eb="23">
      <t>シメイ</t>
    </rPh>
    <rPh sb="23" eb="24">
      <t>スウ</t>
    </rPh>
    <rPh sb="26" eb="28">
      <t>シュゴ</t>
    </rPh>
    <rPh sb="28" eb="29">
      <t>スウ</t>
    </rPh>
    <rPh sb="31" eb="32">
      <t>ヒ</t>
    </rPh>
    <phoneticPr fontId="1"/>
  </si>
  <si>
    <t>使　命　数</t>
    <rPh sb="0" eb="1">
      <t>シ</t>
    </rPh>
    <rPh sb="2" eb="3">
      <t>イノチ</t>
    </rPh>
    <rPh sb="4" eb="5">
      <t>スウ</t>
    </rPh>
    <phoneticPr fontId="1"/>
  </si>
  <si>
    <t>３つの資質「個性」をどのように活かしながら、</t>
    <rPh sb="3" eb="5">
      <t>シシツ</t>
    </rPh>
    <rPh sb="6" eb="8">
      <t>コセイ</t>
    </rPh>
    <rPh sb="15" eb="16">
      <t>イ</t>
    </rPh>
    <phoneticPr fontId="1"/>
  </si>
  <si>
    <t>どのように生きるかの「人生の目的」「魂の成長のゴール」</t>
    <rPh sb="5" eb="6">
      <t>イ</t>
    </rPh>
    <rPh sb="11" eb="13">
      <t>ジンセイ</t>
    </rPh>
    <rPh sb="14" eb="16">
      <t>モクテキ</t>
    </rPh>
    <rPh sb="18" eb="19">
      <t>タマシイ</t>
    </rPh>
    <rPh sb="20" eb="22">
      <t>セイチョウ</t>
    </rPh>
    <phoneticPr fontId="1"/>
  </si>
  <si>
    <t>もし、「苦手」「畏れ多い」と感じることがあるとしたら、</t>
    <rPh sb="4" eb="6">
      <t>ニガテ</t>
    </rPh>
    <rPh sb="8" eb="9">
      <t>オソ</t>
    </rPh>
    <rPh sb="10" eb="11">
      <t>オオ</t>
    </rPh>
    <rPh sb="14" eb="15">
      <t>カン</t>
    </rPh>
    <phoneticPr fontId="1"/>
  </si>
  <si>
    <t>それはまだ、目標へ向かう途中であるからと捉えます。</t>
    <rPh sb="6" eb="8">
      <t>モクヒョウ</t>
    </rPh>
    <rPh sb="9" eb="10">
      <t>ム</t>
    </rPh>
    <rPh sb="12" eb="14">
      <t>トチュウ</t>
    </rPh>
    <rPh sb="20" eb="21">
      <t>トラ</t>
    </rPh>
    <phoneticPr fontId="1"/>
  </si>
  <si>
    <t>　　　人生の目的・使命（命の使いみち）・苦手分野</t>
    <rPh sb="3" eb="5">
      <t>ジンセイ</t>
    </rPh>
    <rPh sb="6" eb="8">
      <t>モクテキ</t>
    </rPh>
    <rPh sb="9" eb="11">
      <t>シメイ</t>
    </rPh>
    <rPh sb="12" eb="13">
      <t>イノチ</t>
    </rPh>
    <rPh sb="14" eb="15">
      <t>ツカ</t>
    </rPh>
    <rPh sb="20" eb="22">
      <t>ニガテ</t>
    </rPh>
    <rPh sb="22" eb="24">
      <t>ブンヤ</t>
    </rPh>
    <phoneticPr fontId="1"/>
  </si>
  <si>
    <t>使命を実現させる具体策</t>
    <rPh sb="0" eb="2">
      <t>シメイ</t>
    </rPh>
    <rPh sb="3" eb="5">
      <t>ジツゲン</t>
    </rPh>
    <rPh sb="8" eb="10">
      <t>グタイ</t>
    </rPh>
    <rPh sb="10" eb="11">
      <t>サク</t>
    </rPh>
    <phoneticPr fontId="1"/>
  </si>
  <si>
    <t>使命と表現の二つで天命（人生の大きな目標を表します）</t>
    <rPh sb="0" eb="2">
      <t>シメイ</t>
    </rPh>
    <rPh sb="3" eb="5">
      <t>ヒョウゲン</t>
    </rPh>
    <rPh sb="6" eb="7">
      <t>フタ</t>
    </rPh>
    <rPh sb="9" eb="11">
      <t>テンメイ</t>
    </rPh>
    <rPh sb="12" eb="14">
      <t>ジンセイ</t>
    </rPh>
    <rPh sb="15" eb="16">
      <t>オオ</t>
    </rPh>
    <rPh sb="18" eb="20">
      <t>モクヒョウ</t>
    </rPh>
    <rPh sb="21" eb="22">
      <t>アラワ</t>
    </rPh>
    <phoneticPr fontId="1"/>
  </si>
  <si>
    <t>＋</t>
    <phoneticPr fontId="1"/>
  </si>
  <si>
    <t>守　護　数</t>
    <rPh sb="0" eb="1">
      <t>シュ</t>
    </rPh>
    <rPh sb="2" eb="3">
      <t>マモル</t>
    </rPh>
    <rPh sb="4" eb="5">
      <t>スウ</t>
    </rPh>
    <phoneticPr fontId="1"/>
  </si>
  <si>
    <t>＝</t>
    <phoneticPr fontId="1"/>
  </si>
  <si>
    <t>使命天命　　　　　　　　　　</t>
    <rPh sb="0" eb="2">
      <t>シメイ</t>
    </rPh>
    <rPh sb="2" eb="3">
      <t>テン</t>
    </rPh>
    <rPh sb="3" eb="4">
      <t>イノチ</t>
    </rPh>
    <phoneticPr fontId="1"/>
  </si>
  <si>
    <t>（生まれた時の神との約束）</t>
    <rPh sb="1" eb="2">
      <t>ウ</t>
    </rPh>
    <rPh sb="5" eb="6">
      <t>トキ</t>
    </rPh>
    <rPh sb="7" eb="8">
      <t>カミ</t>
    </rPh>
    <rPh sb="10" eb="12">
      <t>ヤクソク</t>
    </rPh>
    <phoneticPr fontId="1"/>
  </si>
  <si>
    <t>何のためにどう生きるか</t>
    <rPh sb="0" eb="1">
      <t>ナン</t>
    </rPh>
    <rPh sb="7" eb="8">
      <t>イ</t>
    </rPh>
    <phoneticPr fontId="1"/>
  </si>
  <si>
    <t>使命を生きることで、世の中に貢献できる天命を成すことができます。.</t>
    <rPh sb="0" eb="2">
      <t>シメイ</t>
    </rPh>
    <rPh sb="3" eb="4">
      <t>イ</t>
    </rPh>
    <rPh sb="10" eb="11">
      <t>ヨ</t>
    </rPh>
    <rPh sb="12" eb="13">
      <t>ナカ</t>
    </rPh>
    <rPh sb="14" eb="16">
      <t>コウケン</t>
    </rPh>
    <rPh sb="19" eb="21">
      <t>テンメイ</t>
    </rPh>
    <rPh sb="22" eb="23">
      <t>ナ</t>
    </rPh>
    <phoneticPr fontId="1"/>
  </si>
  <si>
    <t>◆　６</t>
    <phoneticPr fontId="1"/>
  </si>
  <si>
    <t>　　　自分のルーツは両親の数秘に見ることができます</t>
    <rPh sb="3" eb="5">
      <t>ジブン</t>
    </rPh>
    <rPh sb="10" eb="12">
      <t>リョウシン</t>
    </rPh>
    <rPh sb="13" eb="14">
      <t>スウ</t>
    </rPh>
    <rPh sb="14" eb="15">
      <t>ヒ</t>
    </rPh>
    <rPh sb="16" eb="17">
      <t>ミ</t>
    </rPh>
    <phoneticPr fontId="1"/>
  </si>
  <si>
    <t>あなたのルーツは、両親の数秘から知ることもできます。</t>
    <rPh sb="9" eb="11">
      <t>リョウシン</t>
    </rPh>
    <rPh sb="12" eb="13">
      <t>スウ</t>
    </rPh>
    <rPh sb="13" eb="14">
      <t>ヒ</t>
    </rPh>
    <rPh sb="16" eb="17">
      <t>シ</t>
    </rPh>
    <phoneticPr fontId="1"/>
  </si>
  <si>
    <t>必ずではありませんが、どちらかの資質、課題、テーマなどいずれかの数秘を受け継いでいることがあります。</t>
    <rPh sb="0" eb="1">
      <t>カナラ</t>
    </rPh>
    <rPh sb="16" eb="18">
      <t>シシツ</t>
    </rPh>
    <rPh sb="19" eb="21">
      <t>カダイ</t>
    </rPh>
    <rPh sb="32" eb="33">
      <t>スウ</t>
    </rPh>
    <rPh sb="33" eb="34">
      <t>ヒ</t>
    </rPh>
    <rPh sb="35" eb="36">
      <t>ウ</t>
    </rPh>
    <rPh sb="37" eb="38">
      <t>ツ</t>
    </rPh>
    <phoneticPr fontId="1"/>
  </si>
  <si>
    <t>父　西暦生年月日</t>
    <rPh sb="0" eb="1">
      <t>チチ</t>
    </rPh>
    <rPh sb="2" eb="4">
      <t>セイレキ</t>
    </rPh>
    <rPh sb="4" eb="6">
      <t>セイネン</t>
    </rPh>
    <rPh sb="6" eb="8">
      <t>ガッピ</t>
    </rPh>
    <phoneticPr fontId="1"/>
  </si>
  <si>
    <t>母　西暦生年月日</t>
    <rPh sb="0" eb="1">
      <t>ハハ</t>
    </rPh>
    <rPh sb="2" eb="4">
      <t>セイレキ</t>
    </rPh>
    <rPh sb="4" eb="6">
      <t>セイネン</t>
    </rPh>
    <rPh sb="6" eb="8">
      <t>ガッピ</t>
    </rPh>
    <phoneticPr fontId="1"/>
  </si>
  <si>
    <t>パーソナルナンバー</t>
    <phoneticPr fontId="1"/>
  </si>
  <si>
    <t>父</t>
    <rPh sb="0" eb="1">
      <t>チチ</t>
    </rPh>
    <phoneticPr fontId="1"/>
  </si>
  <si>
    <t>【父・母・あなた】の共通する数秘に○をつけてください。</t>
    <phoneticPr fontId="1"/>
  </si>
  <si>
    <t>父と共通・・・　　　　　　　　　母と共通・・・</t>
    <rPh sb="0" eb="1">
      <t>チチ</t>
    </rPh>
    <rPh sb="2" eb="4">
      <t>キョウツウ</t>
    </rPh>
    <rPh sb="16" eb="17">
      <t>ハハ</t>
    </rPh>
    <rPh sb="18" eb="20">
      <t>キョウツウ</t>
    </rPh>
    <phoneticPr fontId="1"/>
  </si>
  <si>
    <t>母</t>
    <rPh sb="0" eb="1">
      <t>ハハ</t>
    </rPh>
    <phoneticPr fontId="1"/>
  </si>
  <si>
    <t>あなた</t>
    <phoneticPr fontId="1"/>
  </si>
  <si>
    <t>わたし達は、決して一人でこの世に生まれたわけではなく、両親からDNAを受け継いでいます。</t>
    <rPh sb="3" eb="4">
      <t>タチ</t>
    </rPh>
    <rPh sb="6" eb="7">
      <t>ケッ</t>
    </rPh>
    <rPh sb="9" eb="11">
      <t>ヒトリ</t>
    </rPh>
    <rPh sb="14" eb="15">
      <t>ヨ</t>
    </rPh>
    <rPh sb="16" eb="17">
      <t>ウ</t>
    </rPh>
    <rPh sb="27" eb="29">
      <t>リョウシン</t>
    </rPh>
    <rPh sb="35" eb="36">
      <t>ウ</t>
    </rPh>
    <rPh sb="37" eb="38">
      <t>ツ</t>
    </rPh>
    <phoneticPr fontId="1"/>
  </si>
  <si>
    <t>個性を構成している主な資質（５つの数秘）にもそれは表れています。</t>
    <rPh sb="0" eb="2">
      <t>コセイ</t>
    </rPh>
    <rPh sb="3" eb="5">
      <t>コウセイ</t>
    </rPh>
    <rPh sb="9" eb="10">
      <t>オモ</t>
    </rPh>
    <rPh sb="11" eb="13">
      <t>シシツ</t>
    </rPh>
    <rPh sb="17" eb="18">
      <t>スウ</t>
    </rPh>
    <rPh sb="18" eb="19">
      <t>ヒ</t>
    </rPh>
    <rPh sb="25" eb="26">
      <t>アラワ</t>
    </rPh>
    <phoneticPr fontId="1"/>
  </si>
  <si>
    <t>共通する数秘、テーマ、相反する傾向なども、目で見て理解することができます。</t>
    <rPh sb="0" eb="2">
      <t>キョウツウ</t>
    </rPh>
    <rPh sb="4" eb="5">
      <t>スウ</t>
    </rPh>
    <rPh sb="5" eb="6">
      <t>ヒ</t>
    </rPh>
    <rPh sb="11" eb="13">
      <t>アイハン</t>
    </rPh>
    <rPh sb="15" eb="17">
      <t>ケイコウ</t>
    </rPh>
    <rPh sb="21" eb="22">
      <t>メ</t>
    </rPh>
    <rPh sb="23" eb="24">
      <t>ミ</t>
    </rPh>
    <rPh sb="25" eb="27">
      <t>リカイ</t>
    </rPh>
    <phoneticPr fontId="1"/>
  </si>
  <si>
    <t>○をドラッグして該当する数字の上に持っていってください。</t>
    <rPh sb="8" eb="10">
      <t>ガイトウ</t>
    </rPh>
    <rPh sb="12" eb="14">
      <t>スウジ</t>
    </rPh>
    <rPh sb="15" eb="16">
      <t>ウエ</t>
    </rPh>
    <rPh sb="17" eb="18">
      <t>モ</t>
    </rPh>
    <phoneticPr fontId="1"/>
  </si>
  <si>
    <t>口頭にて詳しくご説明いたします</t>
    <rPh sb="0" eb="2">
      <t>コウトウ</t>
    </rPh>
    <rPh sb="4" eb="5">
      <t>クワ</t>
    </rPh>
    <rPh sb="8" eb="10">
      <t>セツメイ</t>
    </rPh>
    <phoneticPr fontId="1"/>
  </si>
  <si>
    <t>成長過程での最初のブロック・ブレーキは潜在数に表れやすい</t>
    <rPh sb="0" eb="2">
      <t>セイチョウ</t>
    </rPh>
    <rPh sb="2" eb="4">
      <t>カテイ</t>
    </rPh>
    <rPh sb="6" eb="8">
      <t>サイショ</t>
    </rPh>
    <rPh sb="19" eb="21">
      <t>センザイ</t>
    </rPh>
    <rPh sb="21" eb="22">
      <t>スウ</t>
    </rPh>
    <rPh sb="23" eb="24">
      <t>アラワ</t>
    </rPh>
    <phoneticPr fontId="1"/>
  </si>
  <si>
    <t>潜在数には自分でも気づかない資質を見ることができます。が、成長の過程では、</t>
    <rPh sb="0" eb="2">
      <t>センザイ</t>
    </rPh>
    <rPh sb="2" eb="3">
      <t>スウ</t>
    </rPh>
    <rPh sb="5" eb="7">
      <t>ジブン</t>
    </rPh>
    <rPh sb="9" eb="10">
      <t>キ</t>
    </rPh>
    <rPh sb="14" eb="16">
      <t>シシツ</t>
    </rPh>
    <rPh sb="17" eb="18">
      <t>ミ</t>
    </rPh>
    <rPh sb="29" eb="31">
      <t>セイチョウ</t>
    </rPh>
    <rPh sb="32" eb="34">
      <t>カテイ</t>
    </rPh>
    <phoneticPr fontId="1"/>
  </si>
  <si>
    <t>「先にその反対側をブレーキやブロック、苦手意識として体験する」という法則になっています。</t>
    <rPh sb="1" eb="2">
      <t>サキ</t>
    </rPh>
    <rPh sb="5" eb="7">
      <t>ハンタイ</t>
    </rPh>
    <rPh sb="7" eb="8">
      <t>ガワ</t>
    </rPh>
    <rPh sb="19" eb="21">
      <t>ニガテ</t>
    </rPh>
    <rPh sb="21" eb="23">
      <t>イシキ</t>
    </rPh>
    <rPh sb="26" eb="28">
      <t>タイケン</t>
    </rPh>
    <rPh sb="34" eb="36">
      <t>ホウソク</t>
    </rPh>
    <phoneticPr fontId="1"/>
  </si>
  <si>
    <t>課　題</t>
    <rPh sb="0" eb="1">
      <t>カ</t>
    </rPh>
    <rPh sb="2" eb="3">
      <t>ダイ</t>
    </rPh>
    <phoneticPr fontId="1"/>
  </si>
  <si>
    <t>ストーリーの　　　   　あらすじ</t>
    <phoneticPr fontId="1"/>
  </si>
  <si>
    <t xml:space="preserve"> 父　 西暦生年月日</t>
    <rPh sb="1" eb="2">
      <t>チチ</t>
    </rPh>
    <rPh sb="4" eb="6">
      <t>セイレキ</t>
    </rPh>
    <rPh sb="6" eb="8">
      <t>セイネン</t>
    </rPh>
    <rPh sb="8" eb="10">
      <t>ガッピ</t>
    </rPh>
    <phoneticPr fontId="1"/>
  </si>
  <si>
    <t xml:space="preserve"> 母　 西暦生年月日</t>
    <rPh sb="1" eb="2">
      <t>ハハ</t>
    </rPh>
    <rPh sb="4" eb="6">
      <t>セイレキ</t>
    </rPh>
    <rPh sb="6" eb="8">
      <t>セイネン</t>
    </rPh>
    <rPh sb="8" eb="10">
      <t>ガッピ</t>
    </rPh>
    <phoneticPr fontId="1"/>
  </si>
  <si>
    <t xml:space="preserve">
</t>
    <phoneticPr fontId="1"/>
  </si>
  <si>
    <t>◆　７</t>
    <phoneticPr fontId="1"/>
  </si>
  <si>
    <t>言葉の力でブレーキがアクセル（強み）に変わる</t>
    <rPh sb="0" eb="2">
      <t>コトバ</t>
    </rPh>
    <rPh sb="3" eb="4">
      <t>チカラ</t>
    </rPh>
    <rPh sb="15" eb="16">
      <t>ツヨ</t>
    </rPh>
    <rPh sb="19" eb="20">
      <t>カ</t>
    </rPh>
    <phoneticPr fontId="1"/>
  </si>
  <si>
    <t>潜在数のテーマを元に表れる現象（ブロックや乗り越えたい課題）を終了させるためには、</t>
    <rPh sb="0" eb="2">
      <t>センザイ</t>
    </rPh>
    <rPh sb="2" eb="3">
      <t>スウ</t>
    </rPh>
    <rPh sb="8" eb="9">
      <t>モト</t>
    </rPh>
    <rPh sb="10" eb="11">
      <t>アラワ</t>
    </rPh>
    <rPh sb="13" eb="15">
      <t>ゲンショウ</t>
    </rPh>
    <rPh sb="21" eb="22">
      <t>ノ</t>
    </rPh>
    <rPh sb="23" eb="24">
      <t>コ</t>
    </rPh>
    <rPh sb="27" eb="29">
      <t>カダイ</t>
    </rPh>
    <rPh sb="31" eb="33">
      <t>シュウリョウ</t>
    </rPh>
    <phoneticPr fontId="1"/>
  </si>
  <si>
    <t>幾度となく繰り返されてきたパターンをしっかりと、客観的に見てみることです。</t>
    <rPh sb="0" eb="2">
      <t>イクド</t>
    </rPh>
    <rPh sb="5" eb="6">
      <t>ク</t>
    </rPh>
    <rPh sb="7" eb="8">
      <t>カエ</t>
    </rPh>
    <rPh sb="24" eb="27">
      <t>キャッカンテキ</t>
    </rPh>
    <rPh sb="28" eb="29">
      <t>ミ</t>
    </rPh>
    <phoneticPr fontId="1"/>
  </si>
  <si>
    <t>人は誰でも自分を俯瞰して見る目を持っています。そして、自分で自分を癒す力を持っています。</t>
    <rPh sb="0" eb="1">
      <t>ヒト</t>
    </rPh>
    <rPh sb="2" eb="3">
      <t>ダレ</t>
    </rPh>
    <rPh sb="5" eb="7">
      <t>ジブン</t>
    </rPh>
    <rPh sb="8" eb="10">
      <t>フカン</t>
    </rPh>
    <rPh sb="12" eb="13">
      <t>ミ</t>
    </rPh>
    <rPh sb="14" eb="15">
      <t>メ</t>
    </rPh>
    <rPh sb="16" eb="17">
      <t>モ</t>
    </rPh>
    <phoneticPr fontId="1"/>
  </si>
  <si>
    <t>未解決の課題をクリアにすることができるのは、誰でもなく自分自身。</t>
    <rPh sb="0" eb="3">
      <t>ミカイケツ</t>
    </rPh>
    <rPh sb="4" eb="6">
      <t>カダイ</t>
    </rPh>
    <rPh sb="22" eb="23">
      <t>ダレ</t>
    </rPh>
    <rPh sb="27" eb="29">
      <t>ジブン</t>
    </rPh>
    <rPh sb="29" eb="31">
      <t>ジシン</t>
    </rPh>
    <phoneticPr fontId="1"/>
  </si>
  <si>
    <t>繰り返されるパターン、蓋をして見ないふりをしてきた現象をしっかり味わい、</t>
    <rPh sb="0" eb="1">
      <t>ク</t>
    </rPh>
    <rPh sb="2" eb="3">
      <t>カエ</t>
    </rPh>
    <rPh sb="11" eb="12">
      <t>フタ</t>
    </rPh>
    <rPh sb="15" eb="16">
      <t>ミ</t>
    </rPh>
    <rPh sb="25" eb="27">
      <t>ゲンショウ</t>
    </rPh>
    <rPh sb="32" eb="33">
      <t>アジ</t>
    </rPh>
    <phoneticPr fontId="1"/>
  </si>
  <si>
    <t>「もう、充分」「もう、必要ない」と感じることができたなら、</t>
    <rPh sb="4" eb="6">
      <t>ジュウブン</t>
    </rPh>
    <rPh sb="11" eb="13">
      <t>ヒツヨウ</t>
    </rPh>
    <rPh sb="17" eb="18">
      <t>カン</t>
    </rPh>
    <phoneticPr fontId="1"/>
  </si>
  <si>
    <t>あなたはそれを終了させ、次のストーリーを始めることができます。</t>
    <rPh sb="7" eb="9">
      <t>シュウリョウ</t>
    </rPh>
    <rPh sb="12" eb="13">
      <t>ツギ</t>
    </rPh>
    <rPh sb="20" eb="21">
      <t>ハジ</t>
    </rPh>
    <phoneticPr fontId="1"/>
  </si>
  <si>
    <t>ブレーキの元、苦手意識など、本来の自分を活かせない体験は、実は潜在的な資質・強みでもあるのです。</t>
    <rPh sb="5" eb="6">
      <t>モト</t>
    </rPh>
    <rPh sb="7" eb="9">
      <t>ニガテ</t>
    </rPh>
    <rPh sb="9" eb="11">
      <t>イシキ</t>
    </rPh>
    <rPh sb="14" eb="16">
      <t>ホンライ</t>
    </rPh>
    <rPh sb="17" eb="19">
      <t>ジブン</t>
    </rPh>
    <rPh sb="20" eb="21">
      <t>イ</t>
    </rPh>
    <rPh sb="25" eb="27">
      <t>タイケン</t>
    </rPh>
    <rPh sb="29" eb="30">
      <t>ジツ</t>
    </rPh>
    <rPh sb="31" eb="34">
      <t>センザイテキ</t>
    </rPh>
    <rPh sb="35" eb="37">
      <t>シシツ</t>
    </rPh>
    <rPh sb="38" eb="39">
      <t>ツヨ</t>
    </rPh>
    <phoneticPr fontId="1"/>
  </si>
  <si>
    <t>言葉の力・アファメーションで資質（強み）へと好転させましょう。</t>
    <rPh sb="0" eb="2">
      <t>コトバ</t>
    </rPh>
    <rPh sb="3" eb="4">
      <t>チカラ</t>
    </rPh>
    <rPh sb="14" eb="16">
      <t>シシツ</t>
    </rPh>
    <rPh sb="17" eb="18">
      <t>ツヨ</t>
    </rPh>
    <rPh sb="22" eb="24">
      <t>コウテン</t>
    </rPh>
    <phoneticPr fontId="1"/>
  </si>
  <si>
    <t>繰り返されるブレーキとなるパターン</t>
    <phoneticPr fontId="1"/>
  </si>
  <si>
    <t>そのドラマをやりきることで潜在的な強み・アクセルとなる</t>
  </si>
  <si>
    <t>ブレーキをアクセルに変えるアファメーション</t>
    <rPh sb="10" eb="11">
      <t>カ</t>
    </rPh>
    <phoneticPr fontId="1"/>
  </si>
  <si>
    <t>アファメーションとは、言葉（言霊）の力を使って、脳（潜在意識）に物語の台本を書き込むようなものです。</t>
    <rPh sb="11" eb="13">
      <t>コトバ</t>
    </rPh>
    <rPh sb="14" eb="16">
      <t>コトダマ</t>
    </rPh>
    <rPh sb="18" eb="19">
      <t>チカラ</t>
    </rPh>
    <rPh sb="20" eb="21">
      <t>ツカ</t>
    </rPh>
    <rPh sb="24" eb="25">
      <t>ノウ</t>
    </rPh>
    <rPh sb="26" eb="28">
      <t>センザイ</t>
    </rPh>
    <rPh sb="28" eb="30">
      <t>イシキ</t>
    </rPh>
    <rPh sb="32" eb="34">
      <t>モノガタリ</t>
    </rPh>
    <rPh sb="35" eb="37">
      <t>ダイホン</t>
    </rPh>
    <rPh sb="38" eb="39">
      <t>カ</t>
    </rPh>
    <rPh sb="40" eb="41">
      <t>コ</t>
    </rPh>
    <phoneticPr fontId="1"/>
  </si>
  <si>
    <t>あなたの人生ストーリーは、あなたが意図することでいくらでも好転させることができます。</t>
    <rPh sb="4" eb="6">
      <t>ジンセイ</t>
    </rPh>
    <rPh sb="17" eb="19">
      <t>イト</t>
    </rPh>
    <rPh sb="29" eb="31">
      <t>コウテン</t>
    </rPh>
    <phoneticPr fontId="1"/>
  </si>
  <si>
    <t>想いと意図を言葉で脳にインプットし、それに従い行動することで現実を変えることができます。</t>
    <rPh sb="0" eb="1">
      <t>オモ</t>
    </rPh>
    <rPh sb="3" eb="5">
      <t>イト</t>
    </rPh>
    <rPh sb="6" eb="8">
      <t>コトバ</t>
    </rPh>
    <rPh sb="9" eb="10">
      <t>ノウ</t>
    </rPh>
    <rPh sb="21" eb="22">
      <t>シタガ</t>
    </rPh>
    <rPh sb="23" eb="25">
      <t>コウドウ</t>
    </rPh>
    <rPh sb="30" eb="32">
      <t>ゲンジツ</t>
    </rPh>
    <rPh sb="33" eb="34">
      <t>カ</t>
    </rPh>
    <phoneticPr fontId="1"/>
  </si>
  <si>
    <t>主語（わたし○○は、）＋肯定文（形容詞を入れた現在進行形、または完了形）</t>
    <rPh sb="0" eb="2">
      <t>シュゴ</t>
    </rPh>
    <rPh sb="12" eb="15">
      <t>コウテイブン</t>
    </rPh>
    <rPh sb="16" eb="19">
      <t>ケイヨウシ</t>
    </rPh>
    <rPh sb="20" eb="21">
      <t>イ</t>
    </rPh>
    <rPh sb="23" eb="25">
      <t>ゲンザイ</t>
    </rPh>
    <rPh sb="25" eb="27">
      <t>シンコウ</t>
    </rPh>
    <rPh sb="27" eb="28">
      <t>ケイ</t>
    </rPh>
    <rPh sb="32" eb="34">
      <t>カンリョウ</t>
    </rPh>
    <rPh sb="34" eb="35">
      <t>ケイ</t>
    </rPh>
    <phoneticPr fontId="1"/>
  </si>
  <si>
    <t>個性数秘学でのアファメーションのポイントは、　　　　　　　　　　　　　　　　　　　　　　　　　　　　　　　　　　　　　　　　　　　　　　　３つの資質を持って使命へ向かうことをイメージしながら文章をつくること。　　　　　　　　　　　　　　　　　　　　　　　　　　　　　　　　　　　　特に潜在数の資質が、人生の目的「使命数」の強い後押しとなります。　　　　　　　　　　　　　　　　　　　　　　　　　　　　　　　それらを腑に落とし込み強くイメージする。言葉にする。　　　　　　　　　　　　　　　　　　　　　　　　　　　　　　　　　　　　　　　　　　　　　　　　　　　　　　　　　　　　　　　　　　　　　　　　　　　　　　　　そして、実際に行動することが「人生を自分で好転させる」ことにつながります。</t>
    <rPh sb="207" eb="208">
      <t>フ</t>
    </rPh>
    <phoneticPr fontId="1"/>
  </si>
  <si>
    <t>　　　※どうありたいかをイメージし、ご自身でアファメーションを作ってみましょう。</t>
    <rPh sb="19" eb="21">
      <t>ジシン</t>
    </rPh>
    <rPh sb="31" eb="32">
      <t>ツク</t>
    </rPh>
    <phoneticPr fontId="1"/>
  </si>
  <si>
    <t>　　　※自分で言葉を選び発してみながら、自分の思考と感情がマッチするかを確認しましょう。</t>
    <rPh sb="4" eb="6">
      <t>ジブン</t>
    </rPh>
    <rPh sb="7" eb="9">
      <t>コトバ</t>
    </rPh>
    <rPh sb="10" eb="11">
      <t>エラ</t>
    </rPh>
    <rPh sb="12" eb="13">
      <t>ハッ</t>
    </rPh>
    <rPh sb="20" eb="22">
      <t>ジブン</t>
    </rPh>
    <rPh sb="23" eb="25">
      <t>シコウ</t>
    </rPh>
    <rPh sb="26" eb="28">
      <t>カンジョウ</t>
    </rPh>
    <rPh sb="36" eb="38">
      <t>カクニン</t>
    </rPh>
    <phoneticPr fontId="1"/>
  </si>
  <si>
    <t>　　　　　　　　</t>
    <phoneticPr fontId="1"/>
  </si>
  <si>
    <t>　　　　　　　</t>
    <phoneticPr fontId="1"/>
  </si>
  <si>
    <t>　　　　　　　　　</t>
    <phoneticPr fontId="1"/>
  </si>
  <si>
    <t>◆　８</t>
    <phoneticPr fontId="1"/>
  </si>
  <si>
    <t>　　お名前</t>
  </si>
  <si>
    <t>数秘ポジションチャートで見る組織での役割・強み・傾向</t>
    <rPh sb="0" eb="1">
      <t>スウ</t>
    </rPh>
    <rPh sb="1" eb="2">
      <t>ヒ</t>
    </rPh>
    <rPh sb="12" eb="13">
      <t>ミ</t>
    </rPh>
    <rPh sb="14" eb="16">
      <t>ソシキ</t>
    </rPh>
    <rPh sb="18" eb="20">
      <t>ヤクワリ</t>
    </rPh>
    <rPh sb="21" eb="22">
      <t>ツヨ</t>
    </rPh>
    <rPh sb="24" eb="26">
      <t>ケイコウ</t>
    </rPh>
    <phoneticPr fontId="1"/>
  </si>
  <si>
    <t>ポジションとは、位置：　　モノや人の存在する場所。</t>
    <rPh sb="8" eb="10">
      <t>イチ</t>
    </rPh>
    <rPh sb="16" eb="17">
      <t>ヒト</t>
    </rPh>
    <rPh sb="18" eb="20">
      <t>ソンザイ</t>
    </rPh>
    <rPh sb="22" eb="24">
      <t>バショ</t>
    </rPh>
    <phoneticPr fontId="1"/>
  </si>
  <si>
    <t>　　　 　　　　　　 地位：　　社会や集団における身分、役割。</t>
    <rPh sb="11" eb="13">
      <t>チイ</t>
    </rPh>
    <rPh sb="16" eb="18">
      <t>シャカイ</t>
    </rPh>
    <rPh sb="19" eb="21">
      <t>シュウダン</t>
    </rPh>
    <rPh sb="25" eb="27">
      <t>ミブン</t>
    </rPh>
    <rPh sb="28" eb="30">
      <t>ヤクワリ</t>
    </rPh>
    <phoneticPr fontId="1"/>
  </si>
  <si>
    <t>　　　　　　　　　  役職：　　組織運営上の役割などを示す。　　　　　　　Wikipediaより</t>
    <rPh sb="11" eb="13">
      <t>ヤクショク</t>
    </rPh>
    <rPh sb="16" eb="18">
      <t>ソシキ</t>
    </rPh>
    <rPh sb="18" eb="20">
      <t>ウンエイ</t>
    </rPh>
    <rPh sb="20" eb="21">
      <t>ジョウ</t>
    </rPh>
    <rPh sb="22" eb="24">
      <t>ヤクワリ</t>
    </rPh>
    <rPh sb="27" eb="28">
      <t>シメ</t>
    </rPh>
    <phoneticPr fontId="1"/>
  </si>
  <si>
    <t>創造</t>
    <rPh sb="0" eb="2">
      <t>ソウゾウ</t>
    </rPh>
    <phoneticPr fontId="1"/>
  </si>
  <si>
    <t>成長の段階でその立ち位置は変化していきます。</t>
    <phoneticPr fontId="1"/>
  </si>
  <si>
    <t>（１１）</t>
    <phoneticPr fontId="1"/>
  </si>
  <si>
    <t>まずは、表立って見える「誕生数」を基準に見てみましょう。</t>
    <phoneticPr fontId="1"/>
  </si>
  <si>
    <t>成長</t>
    <rPh sb="0" eb="2">
      <t>セイチョウ</t>
    </rPh>
    <phoneticPr fontId="1"/>
  </si>
  <si>
    <t>成長の過程であなたがどこを意識しているかにより、</t>
    <phoneticPr fontId="1"/>
  </si>
  <si>
    <t>対象となる数字は変わってきます。</t>
  </si>
  <si>
    <t>（２２）</t>
    <phoneticPr fontId="1"/>
  </si>
  <si>
    <t>統合</t>
    <rPh sb="0" eb="2">
      <t>トウゴウ</t>
    </rPh>
    <phoneticPr fontId="1"/>
  </si>
  <si>
    <t>この数秘ポジションチャートでは、あなたの才能を活かす場所、ポジションを</t>
    <rPh sb="2" eb="3">
      <t>スウ</t>
    </rPh>
    <rPh sb="3" eb="4">
      <t>ヒ</t>
    </rPh>
    <phoneticPr fontId="1"/>
  </si>
  <si>
    <t>知ることができます。</t>
  </si>
  <si>
    <t>家庭や組織での自分の立ち位置、相手の役割を理解し、</t>
    <phoneticPr fontId="1"/>
  </si>
  <si>
    <t>外向き</t>
    <rPh sb="0" eb="1">
      <t>ソト</t>
    </rPh>
    <rPh sb="1" eb="2">
      <t>ム</t>
    </rPh>
    <phoneticPr fontId="1"/>
  </si>
  <si>
    <t>中庸</t>
    <rPh sb="0" eb="2">
      <t>チュウヨウ</t>
    </rPh>
    <phoneticPr fontId="1"/>
  </si>
  <si>
    <t>内向き</t>
    <rPh sb="0" eb="1">
      <t>ウチ</t>
    </rPh>
    <rPh sb="1" eb="2">
      <t>ム</t>
    </rPh>
    <phoneticPr fontId="1"/>
  </si>
  <si>
    <t>相対する人との関係性を意識的に築いていきましょう。</t>
    <phoneticPr fontId="1"/>
  </si>
  <si>
    <t>数字にいい／悪いがないように、相性にもいい／悪いはありません。</t>
    <phoneticPr fontId="1"/>
  </si>
  <si>
    <t>あなたのポジション・感情思考行動パターン</t>
    <rPh sb="10" eb="12">
      <t>カンジョウ</t>
    </rPh>
    <rPh sb="12" eb="14">
      <t>シコウ</t>
    </rPh>
    <rPh sb="14" eb="16">
      <t>コウドウ</t>
    </rPh>
    <phoneticPr fontId="1"/>
  </si>
  <si>
    <t>まわりとの関係性を知るポイント</t>
    <rPh sb="5" eb="8">
      <t>カンケイセイ</t>
    </rPh>
    <rPh sb="9" eb="10">
      <t>シ</t>
    </rPh>
    <phoneticPr fontId="1"/>
  </si>
  <si>
    <t>ものごとの捉え方、反応の傾向</t>
    <rPh sb="5" eb="6">
      <t>トラ</t>
    </rPh>
    <rPh sb="7" eb="8">
      <t>カタ</t>
    </rPh>
    <rPh sb="9" eb="11">
      <t>ハンノウ</t>
    </rPh>
    <rPh sb="12" eb="14">
      <t>ケイコウ</t>
    </rPh>
    <phoneticPr fontId="1"/>
  </si>
  <si>
    <t>エネルギーの向き</t>
    <rPh sb="6" eb="7">
      <t>ム</t>
    </rPh>
    <phoneticPr fontId="1"/>
  </si>
  <si>
    <t>魂の成長段階</t>
    <rPh sb="0" eb="1">
      <t>タマシイ</t>
    </rPh>
    <rPh sb="2" eb="4">
      <t>セイチョウ</t>
    </rPh>
    <rPh sb="4" eb="6">
      <t>ダンカイ</t>
    </rPh>
    <phoneticPr fontId="1"/>
  </si>
  <si>
    <t>役割・行動パターン</t>
    <rPh sb="0" eb="2">
      <t>ヤクワリ</t>
    </rPh>
    <rPh sb="3" eb="5">
      <t>コウドウ</t>
    </rPh>
    <phoneticPr fontId="1"/>
  </si>
  <si>
    <t>思考パターン</t>
    <rPh sb="0" eb="2">
      <t>シコウ</t>
    </rPh>
    <phoneticPr fontId="1"/>
  </si>
  <si>
    <t>数秘を活かしたあなたの適職</t>
    <rPh sb="0" eb="1">
      <t>スウ</t>
    </rPh>
    <rPh sb="1" eb="2">
      <t>ヒ</t>
    </rPh>
    <rPh sb="3" eb="4">
      <t>イ</t>
    </rPh>
    <rPh sb="11" eb="13">
      <t>テキショク</t>
    </rPh>
    <phoneticPr fontId="1"/>
  </si>
  <si>
    <t>自分の魂の成長の段階を知り、他者との違いを理解しましょう。</t>
    <rPh sb="0" eb="2">
      <t>ジブン</t>
    </rPh>
    <rPh sb="3" eb="4">
      <t>タマシイ</t>
    </rPh>
    <rPh sb="5" eb="7">
      <t>セイチョウ</t>
    </rPh>
    <rPh sb="8" eb="10">
      <t>ダンカイ</t>
    </rPh>
    <rPh sb="11" eb="12">
      <t>シ</t>
    </rPh>
    <rPh sb="14" eb="16">
      <t>タシャ</t>
    </rPh>
    <rPh sb="18" eb="19">
      <t>チガ</t>
    </rPh>
    <rPh sb="21" eb="23">
      <t>リカイ</t>
    </rPh>
    <phoneticPr fontId="1"/>
  </si>
  <si>
    <t>チームでの向き・不向きのポジションを理解し、</t>
    <rPh sb="5" eb="6">
      <t>ム</t>
    </rPh>
    <rPh sb="8" eb="10">
      <t>フム</t>
    </rPh>
    <rPh sb="18" eb="20">
      <t>リカイ</t>
    </rPh>
    <phoneticPr fontId="1"/>
  </si>
  <si>
    <t>適材適所で「個性」を活かしましょう。</t>
  </si>
  <si>
    <t>関係性の築きやすい数秘</t>
    <rPh sb="0" eb="3">
      <t>カンケイセイ</t>
    </rPh>
    <rPh sb="4" eb="5">
      <t>キズ</t>
    </rPh>
    <rPh sb="9" eb="10">
      <t>スウ</t>
    </rPh>
    <rPh sb="10" eb="11">
      <t>ヒ</t>
    </rPh>
    <phoneticPr fontId="1"/>
  </si>
  <si>
    <t>それぞれ感情・思考・行動の傾向が違うことを理解しましょう。</t>
    <rPh sb="4" eb="6">
      <t>カンジョウ</t>
    </rPh>
    <rPh sb="7" eb="9">
      <t>シコウ</t>
    </rPh>
    <rPh sb="10" eb="12">
      <t>コウドウ</t>
    </rPh>
    <rPh sb="13" eb="15">
      <t>ケイコウ</t>
    </rPh>
    <rPh sb="16" eb="17">
      <t>チガ</t>
    </rPh>
    <rPh sb="21" eb="23">
      <t>リカイ</t>
    </rPh>
    <phoneticPr fontId="1"/>
  </si>
  <si>
    <t>自分を知るだけでなく、</t>
    <rPh sb="0" eb="2">
      <t>ジブン</t>
    </rPh>
    <rPh sb="3" eb="4">
      <t>シ</t>
    </rPh>
    <phoneticPr fontId="1"/>
  </si>
  <si>
    <t>他者の傾向も受け入れる視点を持ちましょう。</t>
  </si>
  <si>
    <t>◆　９</t>
    <phoneticPr fontId="1"/>
  </si>
  <si>
    <t>人生の未来デザインは、闇雲に目標を掲げて行動するのではなく、</t>
    <rPh sb="0" eb="2">
      <t>ジンセイ</t>
    </rPh>
    <rPh sb="3" eb="5">
      <t>ミライ</t>
    </rPh>
    <rPh sb="11" eb="13">
      <t>ヤミクモ</t>
    </rPh>
    <rPh sb="14" eb="16">
      <t>モクヒョウ</t>
    </rPh>
    <rPh sb="17" eb="18">
      <t>カカ</t>
    </rPh>
    <rPh sb="20" eb="22">
      <t>コウドウ</t>
    </rPh>
    <phoneticPr fontId="1"/>
  </si>
  <si>
    <t>波の上がり下がりに合わせた設定が好転の波に乗るコツです。</t>
    <phoneticPr fontId="1"/>
  </si>
  <si>
    <t>（年周期に合わせてストーリーを描きましょう）</t>
    <rPh sb="1" eb="2">
      <t>ネン</t>
    </rPh>
    <rPh sb="2" eb="4">
      <t>シュウキ</t>
    </rPh>
    <rPh sb="5" eb="6">
      <t>ア</t>
    </rPh>
    <rPh sb="15" eb="16">
      <t>エガ</t>
    </rPh>
    <phoneticPr fontId="1"/>
  </si>
  <si>
    <t>＊波の変化は誕生月を起点に捉えます。</t>
    <rPh sb="1" eb="2">
      <t>ナミ</t>
    </rPh>
    <rPh sb="3" eb="5">
      <t>ヘンカ</t>
    </rPh>
    <rPh sb="6" eb="8">
      <t>タンジョウ</t>
    </rPh>
    <rPh sb="8" eb="9">
      <t>ツキ</t>
    </rPh>
    <rPh sb="10" eb="12">
      <t>キテン</t>
    </rPh>
    <rPh sb="13" eb="14">
      <t>トラ</t>
    </rPh>
    <phoneticPr fontId="1"/>
  </si>
  <si>
    <t>2・4の年確認
数字を一つずつ入力してください。
↓</t>
    <rPh sb="4" eb="5">
      <t>トシ</t>
    </rPh>
    <rPh sb="5" eb="7">
      <t>カクニン</t>
    </rPh>
    <rPh sb="8" eb="10">
      <t>スウジ</t>
    </rPh>
    <rPh sb="11" eb="12">
      <t>ヒト</t>
    </rPh>
    <rPh sb="15" eb="17">
      <t>ニュウリョク</t>
    </rPh>
    <phoneticPr fontId="1"/>
  </si>
  <si>
    <t>好転の波に乗る人生ストーリーの法則</t>
    <rPh sb="0" eb="2">
      <t>コウテン</t>
    </rPh>
    <rPh sb="3" eb="4">
      <t>ナミ</t>
    </rPh>
    <rPh sb="5" eb="6">
      <t>ノ</t>
    </rPh>
    <rPh sb="7" eb="9">
      <t>ジンセイ</t>
    </rPh>
    <rPh sb="15" eb="17">
      <t>ホウソク</t>
    </rPh>
    <phoneticPr fontId="1"/>
  </si>
  <si>
    <t>入　力　項　目</t>
    <rPh sb="0" eb="1">
      <t>イ</t>
    </rPh>
    <rPh sb="2" eb="3">
      <t>チカラ</t>
    </rPh>
    <rPh sb="4" eb="5">
      <t>コウ</t>
    </rPh>
    <rPh sb="6" eb="7">
      <t>メ</t>
    </rPh>
    <phoneticPr fontId="1"/>
  </si>
  <si>
    <r>
      <rPr>
        <sz val="8"/>
        <color theme="1"/>
        <rFont val="ＭＳ Ｐゴシック"/>
        <family val="3"/>
        <charset val="128"/>
        <scheme val="minor"/>
      </rPr>
      <t>８</t>
    </r>
    <r>
      <rPr>
        <sz val="8"/>
        <color theme="1"/>
        <rFont val="ＭＳ Ｐゴシック"/>
        <family val="2"/>
        <charset val="128"/>
        <scheme val="minor"/>
      </rPr>
      <t>　充実・豊かさ</t>
    </r>
    <rPh sb="2" eb="4">
      <t>ジュウジツ</t>
    </rPh>
    <rPh sb="5" eb="6">
      <t>ユタ</t>
    </rPh>
    <phoneticPr fontId="1"/>
  </si>
  <si>
    <t>（知りたい西暦＋誕生月＋誕生日）</t>
  </si>
  <si>
    <t>知りたい西暦</t>
    <rPh sb="0" eb="1">
      <t>シ</t>
    </rPh>
    <rPh sb="4" eb="6">
      <t>セイレキ</t>
    </rPh>
    <phoneticPr fontId="1"/>
  </si>
  <si>
    <t>←西暦</t>
    <rPh sb="1" eb="3">
      <t>セイレキ</t>
    </rPh>
    <phoneticPr fontId="1"/>
  </si>
  <si>
    <r>
      <rPr>
        <sz val="8"/>
        <color theme="1"/>
        <rFont val="ＭＳ Ｐゴシック"/>
        <family val="3"/>
        <charset val="128"/>
        <scheme val="minor"/>
      </rPr>
      <t>１　</t>
    </r>
    <r>
      <rPr>
        <sz val="8"/>
        <color theme="1"/>
        <rFont val="ＭＳ Ｐゴシック"/>
        <family val="2"/>
        <charset val="128"/>
        <scheme val="minor"/>
      </rPr>
      <t>始まり・決断</t>
    </r>
    <rPh sb="2" eb="3">
      <t>ハジ</t>
    </rPh>
    <rPh sb="6" eb="8">
      <t>ケツダン</t>
    </rPh>
    <phoneticPr fontId="1"/>
  </si>
  <si>
    <t>①左のグラフ作成してください。</t>
    <rPh sb="1" eb="2">
      <t>ヒダリ</t>
    </rPh>
    <rPh sb="6" eb="8">
      <t>サクセイ</t>
    </rPh>
    <phoneticPr fontId="1"/>
  </si>
  <si>
    <t>誕生月</t>
    <rPh sb="0" eb="2">
      <t>タンジョウ</t>
    </rPh>
    <rPh sb="2" eb="3">
      <t>ツキ</t>
    </rPh>
    <phoneticPr fontId="1"/>
  </si>
  <si>
    <r>
      <rPr>
        <sz val="8"/>
        <color theme="1"/>
        <rFont val="ＭＳ Ｐゴシック"/>
        <family val="3"/>
        <charset val="128"/>
        <scheme val="minor"/>
      </rPr>
      <t>５</t>
    </r>
    <r>
      <rPr>
        <sz val="8"/>
        <color theme="1"/>
        <rFont val="ＭＳ Ｐゴシック"/>
        <family val="2"/>
        <charset val="128"/>
        <scheme val="minor"/>
      </rPr>
      <t>　変化・成長</t>
    </r>
    <rPh sb="2" eb="4">
      <t>ヘンカ</t>
    </rPh>
    <rPh sb="5" eb="7">
      <t>セイチョウ</t>
    </rPh>
    <phoneticPr fontId="1"/>
  </si>
  <si>
    <t>誕生日</t>
    <rPh sb="0" eb="3">
      <t>タンジョウビ</t>
    </rPh>
    <phoneticPr fontId="1"/>
  </si>
  <si>
    <t>３　創造・希望</t>
    <rPh sb="2" eb="4">
      <t>ソウゾウ</t>
    </rPh>
    <rPh sb="5" eb="7">
      <t>キボウ</t>
    </rPh>
    <phoneticPr fontId="1"/>
  </si>
  <si>
    <r>
      <t>１　</t>
    </r>
    <r>
      <rPr>
        <sz val="8"/>
        <color theme="1"/>
        <rFont val="ＭＳ Ｐゴシック"/>
        <family val="3"/>
        <charset val="128"/>
        <scheme val="minor"/>
      </rPr>
      <t>新規ボタンを押す 左上の▼を押し入力の順番を選択　反転しているカーソルのみ入力</t>
    </r>
    <rPh sb="2" eb="4">
      <t>シンキ</t>
    </rPh>
    <rPh sb="8" eb="9">
      <t>オ</t>
    </rPh>
    <rPh sb="11" eb="12">
      <t>ヒダリ</t>
    </rPh>
    <rPh sb="12" eb="13">
      <t>ウエ</t>
    </rPh>
    <rPh sb="16" eb="17">
      <t>オ</t>
    </rPh>
    <rPh sb="18" eb="20">
      <t>ニュウリョク</t>
    </rPh>
    <rPh sb="21" eb="23">
      <t>ジュンバン</t>
    </rPh>
    <rPh sb="24" eb="26">
      <t>センタク</t>
    </rPh>
    <rPh sb="27" eb="29">
      <t>ハンテン</t>
    </rPh>
    <rPh sb="39" eb="41">
      <t>ニュウリョク</t>
    </rPh>
    <phoneticPr fontId="1"/>
  </si>
  <si>
    <t>６　愛情・受容</t>
    <rPh sb="2" eb="4">
      <t>アイジョウ</t>
    </rPh>
    <rPh sb="5" eb="7">
      <t>ジュヨウ</t>
    </rPh>
    <phoneticPr fontId="1"/>
  </si>
  <si>
    <t>２　右上の票の左側空欄を埋める</t>
    <rPh sb="2" eb="4">
      <t>ミギウエ</t>
    </rPh>
    <rPh sb="5" eb="6">
      <t>ヒョウ</t>
    </rPh>
    <rPh sb="7" eb="8">
      <t>ヒダリ</t>
    </rPh>
    <rPh sb="8" eb="9">
      <t>ガワ</t>
    </rPh>
    <rPh sb="9" eb="11">
      <t>クウラン</t>
    </rPh>
    <rPh sb="12" eb="13">
      <t>ウ</t>
    </rPh>
    <phoneticPr fontId="1"/>
  </si>
  <si>
    <t>←月</t>
    <rPh sb="1" eb="2">
      <t>ツキ</t>
    </rPh>
    <phoneticPr fontId="1"/>
  </si>
  <si>
    <t>９　完結・解放</t>
    <rPh sb="2" eb="4">
      <t>カンケツ</t>
    </rPh>
    <rPh sb="5" eb="7">
      <t>カイホウ</t>
    </rPh>
    <phoneticPr fontId="1"/>
  </si>
  <si>
    <t>３　丸を該当するセルに移動する</t>
    <rPh sb="2" eb="3">
      <t>マル</t>
    </rPh>
    <rPh sb="4" eb="6">
      <t>ガイトウ</t>
    </rPh>
    <rPh sb="11" eb="13">
      <t>イドウ</t>
    </rPh>
    <phoneticPr fontId="1"/>
  </si>
  <si>
    <t>２　協調バランス</t>
    <rPh sb="2" eb="4">
      <t>キョウチョウ</t>
    </rPh>
    <phoneticPr fontId="1"/>
  </si>
  <si>
    <t>２　黒線上で左クリック　（水色の囲みが出る）</t>
    <rPh sb="2" eb="4">
      <t>クロセン</t>
    </rPh>
    <rPh sb="4" eb="5">
      <t>ウエ</t>
    </rPh>
    <rPh sb="6" eb="7">
      <t>ヒダリ</t>
    </rPh>
    <rPh sb="13" eb="15">
      <t>ミズイロ</t>
    </rPh>
    <rPh sb="16" eb="17">
      <t>カコ</t>
    </rPh>
    <rPh sb="19" eb="20">
      <t>デ</t>
    </rPh>
    <phoneticPr fontId="1"/>
  </si>
  <si>
    <t>←日</t>
    <rPh sb="1" eb="2">
      <t>ヒ</t>
    </rPh>
    <phoneticPr fontId="1"/>
  </si>
  <si>
    <t>７休息・自己探求</t>
    <rPh sb="1" eb="3">
      <t>キュウソク</t>
    </rPh>
    <rPh sb="4" eb="6">
      <t>ジコ</t>
    </rPh>
    <rPh sb="6" eb="8">
      <t>タンキュウ</t>
    </rPh>
    <phoneticPr fontId="1"/>
  </si>
  <si>
    <t>３　続いて右クリック</t>
    <rPh sb="2" eb="3">
      <t>ツヅ</t>
    </rPh>
    <rPh sb="5" eb="6">
      <t>ミギ</t>
    </rPh>
    <phoneticPr fontId="1"/>
  </si>
  <si>
    <t>１１動揺・転機</t>
    <rPh sb="2" eb="4">
      <t>ドウヨウ</t>
    </rPh>
    <rPh sb="5" eb="7">
      <t>テンキ</t>
    </rPh>
    <phoneticPr fontId="1"/>
  </si>
  <si>
    <t>４　頂点の編集を選択　もしくは　Ｅのテンキー　を押す</t>
    <rPh sb="2" eb="4">
      <t>チョウテン</t>
    </rPh>
    <rPh sb="5" eb="7">
      <t>ヘンシュウ</t>
    </rPh>
    <rPh sb="8" eb="10">
      <t>センタク</t>
    </rPh>
    <rPh sb="24" eb="25">
      <t>オ</t>
    </rPh>
    <phoneticPr fontId="1"/>
  </si>
  <si>
    <t>４　安定・現実</t>
    <rPh sb="2" eb="4">
      <t>アンテイ</t>
    </rPh>
    <rPh sb="5" eb="7">
      <t>ゲンジツ</t>
    </rPh>
    <phoneticPr fontId="1"/>
  </si>
  <si>
    <t>５　黒点（頂点）を赤丸に重ねる</t>
    <rPh sb="2" eb="3">
      <t>クロ</t>
    </rPh>
    <rPh sb="3" eb="4">
      <t>テン</t>
    </rPh>
    <rPh sb="5" eb="7">
      <t>チョウテン</t>
    </rPh>
    <rPh sb="9" eb="11">
      <t>アカマル</t>
    </rPh>
    <rPh sb="12" eb="13">
      <t>カサ</t>
    </rPh>
    <phoneticPr fontId="1"/>
  </si>
  <si>
    <t>２２激変・大展開</t>
    <rPh sb="2" eb="4">
      <t>ゲキヘン</t>
    </rPh>
    <rPh sb="5" eb="6">
      <t>ダイ</t>
    </rPh>
    <rPh sb="6" eb="8">
      <t>テンカイ</t>
    </rPh>
    <phoneticPr fontId="1"/>
  </si>
  <si>
    <t>（２・４の年は１１・２２の可能性もあるので</t>
    <rPh sb="5" eb="6">
      <t>トシ</t>
    </rPh>
    <rPh sb="13" eb="16">
      <t>カノウセイ</t>
    </rPh>
    <phoneticPr fontId="1"/>
  </si>
  <si>
    <t>年　</t>
    <rPh sb="0" eb="1">
      <t>ネン</t>
    </rPh>
    <phoneticPr fontId="1"/>
  </si>
  <si>
    <t>その都度右上表の右側で確認してください）</t>
  </si>
  <si>
    <t>②上のグラフから１発展・５変化・８充実に該当する西暦を入力してください。</t>
    <rPh sb="1" eb="2">
      <t>ウエ</t>
    </rPh>
    <phoneticPr fontId="1"/>
  </si>
  <si>
    <t>今後のポイントとなる年</t>
    <rPh sb="0" eb="2">
      <t>コンゴ</t>
    </rPh>
    <rPh sb="10" eb="11">
      <t>トシ</t>
    </rPh>
    <phoneticPr fontId="1"/>
  </si>
  <si>
    <t xml:space="preserve"> 起業・開業・習い事など始まりの年</t>
    <rPh sb="1" eb="3">
      <t>キギョウ</t>
    </rPh>
    <rPh sb="4" eb="6">
      <t>カイギョウ</t>
    </rPh>
    <rPh sb="7" eb="8">
      <t>ナラ</t>
    </rPh>
    <rPh sb="9" eb="10">
      <t>ゴト</t>
    </rPh>
    <rPh sb="12" eb="13">
      <t>ハジ</t>
    </rPh>
    <rPh sb="16" eb="17">
      <t>トシ</t>
    </rPh>
    <phoneticPr fontId="1"/>
  </si>
  <si>
    <r>
      <t>　</t>
    </r>
    <r>
      <rPr>
        <sz val="9"/>
        <color theme="1"/>
        <rFont val="AR P教科書体M"/>
        <family val="4"/>
        <charset val="128"/>
      </rPr>
      <t>１</t>
    </r>
    <r>
      <rPr>
        <sz val="9"/>
        <color theme="1"/>
        <rFont val="ＭＳ Ｐゴシック"/>
        <family val="3"/>
        <charset val="128"/>
        <scheme val="minor"/>
      </rPr>
      <t>　始まり</t>
    </r>
    <rPh sb="3" eb="4">
      <t>ハジ</t>
    </rPh>
    <phoneticPr fontId="1"/>
  </si>
  <si>
    <t>１　始まり</t>
    <rPh sb="2" eb="3">
      <t>ハジ</t>
    </rPh>
    <phoneticPr fontId="1"/>
  </si>
  <si>
    <t>（例：２０１５）半角にて</t>
    <rPh sb="8" eb="10">
      <t>ハンカク</t>
    </rPh>
    <phoneticPr fontId="1"/>
  </si>
  <si>
    <t xml:space="preserve"> 新しい変化が訪れる年</t>
    <rPh sb="1" eb="2">
      <t>アタラ</t>
    </rPh>
    <rPh sb="4" eb="6">
      <t>ヘンカ</t>
    </rPh>
    <rPh sb="7" eb="8">
      <t>オトズ</t>
    </rPh>
    <rPh sb="10" eb="11">
      <t>トシ</t>
    </rPh>
    <phoneticPr fontId="1"/>
  </si>
  <si>
    <r>
      <rPr>
        <sz val="10"/>
        <color theme="1"/>
        <rFont val="AR P教科書体M"/>
        <family val="4"/>
        <charset val="128"/>
      </rPr>
      <t>５</t>
    </r>
    <r>
      <rPr>
        <sz val="10"/>
        <color theme="1"/>
        <rFont val="ＭＳ Ｐゴシック"/>
        <family val="3"/>
        <charset val="128"/>
        <scheme val="minor"/>
      </rPr>
      <t>　</t>
    </r>
    <r>
      <rPr>
        <sz val="9"/>
        <color theme="1"/>
        <rFont val="ＭＳ Ｐゴシック"/>
        <family val="3"/>
        <charset val="128"/>
        <scheme val="minor"/>
      </rPr>
      <t>変化</t>
    </r>
    <rPh sb="2" eb="4">
      <t>ヘンカ</t>
    </rPh>
    <phoneticPr fontId="1"/>
  </si>
  <si>
    <t>5　変化</t>
    <rPh sb="2" eb="4">
      <t>ヘンカ</t>
    </rPh>
    <phoneticPr fontId="1"/>
  </si>
  <si>
    <t xml:space="preserve"> 願望達成・成果を受け入れる年</t>
    <rPh sb="1" eb="3">
      <t>ガンボウ</t>
    </rPh>
    <rPh sb="3" eb="5">
      <t>タッセイ</t>
    </rPh>
    <rPh sb="6" eb="8">
      <t>セイカ</t>
    </rPh>
    <rPh sb="9" eb="10">
      <t>ウ</t>
    </rPh>
    <rPh sb="11" eb="12">
      <t>イ</t>
    </rPh>
    <rPh sb="14" eb="15">
      <t>トシ</t>
    </rPh>
    <phoneticPr fontId="1"/>
  </si>
  <si>
    <r>
      <rPr>
        <sz val="10"/>
        <color theme="1"/>
        <rFont val="AR P教科書体M"/>
        <family val="4"/>
        <charset val="128"/>
      </rPr>
      <t>８</t>
    </r>
    <r>
      <rPr>
        <sz val="10"/>
        <color theme="1"/>
        <rFont val="ＭＳ Ｐゴシック"/>
        <family val="3"/>
        <charset val="128"/>
        <scheme val="minor"/>
      </rPr>
      <t>　</t>
    </r>
    <r>
      <rPr>
        <sz val="9"/>
        <color theme="1"/>
        <rFont val="ＭＳ Ｐゴシック"/>
        <family val="3"/>
        <charset val="128"/>
        <scheme val="minor"/>
      </rPr>
      <t>充実</t>
    </r>
    <rPh sb="2" eb="4">
      <t>ジュウジツ</t>
    </rPh>
    <phoneticPr fontId="1"/>
  </si>
  <si>
    <t>8　充実</t>
    <rPh sb="2" eb="4">
      <t>ジュウジツ</t>
    </rPh>
    <phoneticPr fontId="1"/>
  </si>
  <si>
    <t>③今後３年間の年運気を入力してください。</t>
    <rPh sb="1" eb="3">
      <t>コンゴ</t>
    </rPh>
    <rPh sb="4" eb="6">
      <t>ネンカン</t>
    </rPh>
    <rPh sb="7" eb="8">
      <t>ネン</t>
    </rPh>
    <rPh sb="8" eb="10">
      <t>ウンキ</t>
    </rPh>
    <rPh sb="11" eb="13">
      <t>ニュウリョク</t>
    </rPh>
    <phoneticPr fontId="1"/>
  </si>
  <si>
    <t>今後３年間の波の動き</t>
    <rPh sb="0" eb="2">
      <t>コンゴ</t>
    </rPh>
    <rPh sb="2" eb="5">
      <t>サンネンカン</t>
    </rPh>
    <rPh sb="6" eb="7">
      <t>ナミ</t>
    </rPh>
    <rPh sb="8" eb="9">
      <t>ウゴ</t>
    </rPh>
    <phoneticPr fontId="1"/>
  </si>
  <si>
    <t>今年</t>
    <rPh sb="0" eb="2">
      <t>コトシ</t>
    </rPh>
    <phoneticPr fontId="1"/>
  </si>
  <si>
    <t>2・4の月
確認</t>
    <rPh sb="4" eb="5">
      <t>ツキ</t>
    </rPh>
    <rPh sb="6" eb="8">
      <t>カクニン</t>
    </rPh>
    <phoneticPr fontId="1"/>
  </si>
  <si>
    <t>来年</t>
    <rPh sb="0" eb="2">
      <t>ライネン</t>
    </rPh>
    <phoneticPr fontId="1"/>
  </si>
  <si>
    <t>再来年</t>
    <rPh sb="0" eb="3">
      <t>サライネン</t>
    </rPh>
    <phoneticPr fontId="1"/>
  </si>
  <si>
    <t>2023年の月ごとの運気・波の動き</t>
    <rPh sb="4" eb="5">
      <t>ネン</t>
    </rPh>
    <rPh sb="6" eb="7">
      <t>ツキ</t>
    </rPh>
    <rPh sb="10" eb="12">
      <t>ウンキ</t>
    </rPh>
    <rPh sb="13" eb="14">
      <t>ナミ</t>
    </rPh>
    <rPh sb="15" eb="16">
      <t>ウゴ</t>
    </rPh>
    <phoneticPr fontId="1"/>
  </si>
  <si>
    <r>
      <t>④知りたい年の月ごとの運気を入力してください。（知りたい西暦＋知りたい月＋</t>
    </r>
    <r>
      <rPr>
        <b/>
        <sz val="11"/>
        <color rgb="FFFF0000"/>
        <rFont val="ＭＳ Ｐゴシック"/>
        <family val="3"/>
        <charset val="128"/>
        <scheme val="minor"/>
      </rPr>
      <t>誕生数</t>
    </r>
    <r>
      <rPr>
        <b/>
        <sz val="11"/>
        <color theme="1"/>
        <rFont val="ＭＳ Ｐゴシック"/>
        <family val="3"/>
        <charset val="128"/>
        <scheme val="minor"/>
      </rPr>
      <t>）</t>
    </r>
    <rPh sb="1" eb="2">
      <t>シ</t>
    </rPh>
    <rPh sb="5" eb="6">
      <t>トシ</t>
    </rPh>
    <rPh sb="7" eb="8">
      <t>ツキ</t>
    </rPh>
    <rPh sb="11" eb="13">
      <t>ウンキ</t>
    </rPh>
    <rPh sb="14" eb="16">
      <t>ニュウリョク</t>
    </rPh>
    <rPh sb="24" eb="25">
      <t>シ</t>
    </rPh>
    <rPh sb="28" eb="30">
      <t>セイレキ</t>
    </rPh>
    <rPh sb="31" eb="32">
      <t>シ</t>
    </rPh>
    <rPh sb="35" eb="36">
      <t>ツキ</t>
    </rPh>
    <rPh sb="37" eb="39">
      <t>タンジョウ</t>
    </rPh>
    <rPh sb="39" eb="40">
      <t>スウ</t>
    </rPh>
    <phoneticPr fontId="1"/>
  </si>
  <si>
    <t>＊左ページのピンクの帯に○○年と入力する！</t>
    <rPh sb="1" eb="2">
      <t>ヒダリ</t>
    </rPh>
    <rPh sb="10" eb="11">
      <t>オビ</t>
    </rPh>
    <rPh sb="14" eb="15">
      <t>ネン</t>
    </rPh>
    <rPh sb="16" eb="18">
      <t>ニュウリョク</t>
    </rPh>
    <phoneticPr fontId="1"/>
  </si>
  <si>
    <t>１　月</t>
    <rPh sb="2" eb="3">
      <t>ツキ</t>
    </rPh>
    <phoneticPr fontId="1"/>
  </si>
  <si>
    <t>７　月</t>
    <rPh sb="2" eb="3">
      <t>ツキ</t>
    </rPh>
    <phoneticPr fontId="1"/>
  </si>
  <si>
    <t>１月</t>
    <rPh sb="1" eb="2">
      <t>ツキ</t>
    </rPh>
    <phoneticPr fontId="1"/>
  </si>
  <si>
    <t>７月</t>
    <rPh sb="1" eb="2">
      <t>ツキ</t>
    </rPh>
    <phoneticPr fontId="1"/>
  </si>
  <si>
    <t>２　月</t>
    <phoneticPr fontId="1"/>
  </si>
  <si>
    <t>８　月</t>
    <rPh sb="2" eb="3">
      <t>ツキ</t>
    </rPh>
    <phoneticPr fontId="1"/>
  </si>
  <si>
    <t>２月</t>
    <rPh sb="1" eb="2">
      <t>ツキ</t>
    </rPh>
    <phoneticPr fontId="1"/>
  </si>
  <si>
    <t>８月</t>
  </si>
  <si>
    <t>西暦</t>
    <rPh sb="0" eb="2">
      <t>セイレキ</t>
    </rPh>
    <phoneticPr fontId="1"/>
  </si>
  <si>
    <t>前年西暦</t>
    <rPh sb="0" eb="2">
      <t>ゼンネン</t>
    </rPh>
    <rPh sb="2" eb="4">
      <t>セイレキ</t>
    </rPh>
    <phoneticPr fontId="1"/>
  </si>
  <si>
    <t>３　月</t>
    <phoneticPr fontId="1"/>
  </si>
  <si>
    <t>９　月</t>
    <rPh sb="2" eb="3">
      <t>ツキ</t>
    </rPh>
    <phoneticPr fontId="1"/>
  </si>
  <si>
    <t>３月</t>
  </si>
  <si>
    <t>９月</t>
  </si>
  <si>
    <t>誕生月前月</t>
    <rPh sb="0" eb="2">
      <t>タンジョウ</t>
    </rPh>
    <rPh sb="2" eb="3">
      <t>ヅキ</t>
    </rPh>
    <rPh sb="3" eb="4">
      <t>マエ</t>
    </rPh>
    <rPh sb="4" eb="5">
      <t>ゲツ</t>
    </rPh>
    <phoneticPr fontId="1"/>
  </si>
  <si>
    <t>←誕生数</t>
    <rPh sb="1" eb="3">
      <t>タンジョウ</t>
    </rPh>
    <rPh sb="3" eb="4">
      <t>スウ</t>
    </rPh>
    <phoneticPr fontId="1"/>
  </si>
  <si>
    <t>４　月</t>
    <rPh sb="2" eb="3">
      <t>ツキ</t>
    </rPh>
    <phoneticPr fontId="1"/>
  </si>
  <si>
    <t>１０　月</t>
    <rPh sb="3" eb="4">
      <t>ツキ</t>
    </rPh>
    <phoneticPr fontId="1"/>
  </si>
  <si>
    <t>４月</t>
  </si>
  <si>
    <t>１０月</t>
  </si>
  <si>
    <t>５　月</t>
  </si>
  <si>
    <t>１１　月</t>
    <rPh sb="3" eb="4">
      <t>ツキ</t>
    </rPh>
    <phoneticPr fontId="1"/>
  </si>
  <si>
    <t>５月</t>
  </si>
  <si>
    <t>１１月</t>
  </si>
  <si>
    <t>運気</t>
    <rPh sb="0" eb="2">
      <t>ウンキ</t>
    </rPh>
    <phoneticPr fontId="1"/>
  </si>
  <si>
    <t>６　月</t>
  </si>
  <si>
    <t>１２　月</t>
    <rPh sb="3" eb="4">
      <t>ツキ</t>
    </rPh>
    <phoneticPr fontId="1"/>
  </si>
  <si>
    <t>６月</t>
  </si>
  <si>
    <t>１２月</t>
  </si>
  <si>
    <t xml:space="preserve">  運気の数字を左の誕生月の蘭に入力してください。</t>
    <rPh sb="2" eb="4">
      <t>ウンキ</t>
    </rPh>
    <rPh sb="5" eb="7">
      <t>スウジ</t>
    </rPh>
    <rPh sb="8" eb="9">
      <t>ヒダリ</t>
    </rPh>
    <rPh sb="10" eb="12">
      <t>タンジョウ</t>
    </rPh>
    <rPh sb="12" eb="13">
      <t>ツキ</t>
    </rPh>
    <rPh sb="14" eb="15">
      <t>ラン</t>
    </rPh>
    <rPh sb="16" eb="18">
      <t>ニュウリョク</t>
    </rPh>
    <phoneticPr fontId="1"/>
  </si>
  <si>
    <t>誕生月の切り替えに気をつけてください</t>
    <rPh sb="0" eb="2">
      <t>タンジョウ</t>
    </rPh>
    <rPh sb="2" eb="3">
      <t>ツキ</t>
    </rPh>
    <rPh sb="4" eb="5">
      <t>キ</t>
    </rPh>
    <rPh sb="6" eb="7">
      <t>カ</t>
    </rPh>
    <rPh sb="9" eb="10">
      <t>キ</t>
    </rPh>
    <phoneticPr fontId="1"/>
  </si>
  <si>
    <t>◆　１０</t>
    <phoneticPr fontId="1"/>
  </si>
  <si>
    <t>数秘に対応したカラーは潜在意識に働きかけ好転の波にのる手助けをしてくれます。</t>
    <rPh sb="0" eb="1">
      <t>スウ</t>
    </rPh>
    <rPh sb="1" eb="2">
      <t>ヒ</t>
    </rPh>
    <rPh sb="3" eb="5">
      <t>タイオウ</t>
    </rPh>
    <rPh sb="11" eb="13">
      <t>センザイ</t>
    </rPh>
    <rPh sb="13" eb="15">
      <t>イシキ</t>
    </rPh>
    <rPh sb="16" eb="17">
      <t>ハタラ</t>
    </rPh>
    <rPh sb="20" eb="22">
      <t>コウテン</t>
    </rPh>
    <rPh sb="23" eb="24">
      <t>ナミ</t>
    </rPh>
    <rPh sb="27" eb="28">
      <t>テ</t>
    </rPh>
    <rPh sb="28" eb="29">
      <t>ダス</t>
    </rPh>
    <phoneticPr fontId="1"/>
  </si>
  <si>
    <t>　　　　　　あなたをサポートするカラー</t>
    <phoneticPr fontId="1"/>
  </si>
  <si>
    <t>カラー</t>
    <phoneticPr fontId="1"/>
  </si>
  <si>
    <t>過去</t>
    <rPh sb="0" eb="2">
      <t>カコ</t>
    </rPh>
    <phoneticPr fontId="1"/>
  </si>
  <si>
    <t>現在</t>
    <rPh sb="0" eb="2">
      <t>ゲンザイ</t>
    </rPh>
    <phoneticPr fontId="1"/>
  </si>
  <si>
    <t>未来</t>
    <rPh sb="0" eb="2">
      <t>ミライ</t>
    </rPh>
    <phoneticPr fontId="1"/>
  </si>
  <si>
    <t>　　＊　なお、カラーの解釈は独自のものになっています。</t>
    <rPh sb="11" eb="13">
      <t>カイシャク</t>
    </rPh>
    <rPh sb="14" eb="16">
      <t>ドクジ</t>
    </rPh>
    <phoneticPr fontId="1"/>
  </si>
  <si>
    <t>　　＊　また、「過去・現在・未来」のうち、どこを意識するかでサポートのカラーは変わってきます。</t>
    <rPh sb="8" eb="10">
      <t>カコ</t>
    </rPh>
    <rPh sb="11" eb="13">
      <t>ゲンザイ</t>
    </rPh>
    <rPh sb="14" eb="16">
      <t>ミライ</t>
    </rPh>
    <rPh sb="24" eb="26">
      <t>イシキ</t>
    </rPh>
    <rPh sb="39" eb="40">
      <t>カ</t>
    </rPh>
    <phoneticPr fontId="1"/>
  </si>
  <si>
    <t>　　　ご自身がピンとくる必要だと感じるカラーを味方につけてください。</t>
    <rPh sb="4" eb="6">
      <t>ジシン</t>
    </rPh>
    <rPh sb="12" eb="14">
      <t>ヒツヨウ</t>
    </rPh>
    <rPh sb="16" eb="17">
      <t>カン</t>
    </rPh>
    <rPh sb="23" eb="25">
      <t>ミカタ</t>
    </rPh>
    <phoneticPr fontId="1"/>
  </si>
  <si>
    <t>これらのカラーを日常に取り入れることで、無意識（潜在意識）を意識（顕在意識）に引き上げ、</t>
    <rPh sb="8" eb="10">
      <t>ニチジョウ</t>
    </rPh>
    <rPh sb="11" eb="12">
      <t>ト</t>
    </rPh>
    <rPh sb="13" eb="14">
      <t>イ</t>
    </rPh>
    <rPh sb="20" eb="23">
      <t>ムイシキ</t>
    </rPh>
    <rPh sb="24" eb="26">
      <t>センザイ</t>
    </rPh>
    <rPh sb="26" eb="28">
      <t>イシキ</t>
    </rPh>
    <rPh sb="30" eb="32">
      <t>イシキ</t>
    </rPh>
    <rPh sb="33" eb="35">
      <t>ケンザイ</t>
    </rPh>
    <rPh sb="35" eb="37">
      <t>イシキ</t>
    </rPh>
    <rPh sb="39" eb="40">
      <t>ヒ</t>
    </rPh>
    <rPh sb="41" eb="42">
      <t>ア</t>
    </rPh>
    <phoneticPr fontId="1"/>
  </si>
  <si>
    <t>自らが想い描く「好転のシナリオ」を意図しやすくします。</t>
    <rPh sb="0" eb="1">
      <t>ミズカ</t>
    </rPh>
    <rPh sb="3" eb="4">
      <t>オモ</t>
    </rPh>
    <rPh sb="5" eb="6">
      <t>エガ</t>
    </rPh>
    <rPh sb="8" eb="10">
      <t>コウテン</t>
    </rPh>
    <rPh sb="17" eb="19">
      <t>イト</t>
    </rPh>
    <phoneticPr fontId="1"/>
  </si>
  <si>
    <t>例えば、手帳の色や、カバン、ちょっとした小物など</t>
    <rPh sb="0" eb="1">
      <t>タト</t>
    </rPh>
    <rPh sb="4" eb="6">
      <t>テチョウ</t>
    </rPh>
    <rPh sb="7" eb="8">
      <t>イロ</t>
    </rPh>
    <rPh sb="20" eb="22">
      <t>コモノ</t>
    </rPh>
    <phoneticPr fontId="1"/>
  </si>
  <si>
    <t>毎日目にする頻度の高いものにサポートカラーを取り入れることで</t>
    <rPh sb="0" eb="2">
      <t>マイニチ</t>
    </rPh>
    <rPh sb="2" eb="3">
      <t>メ</t>
    </rPh>
    <rPh sb="6" eb="8">
      <t>ヒンド</t>
    </rPh>
    <rPh sb="9" eb="10">
      <t>タカ</t>
    </rPh>
    <rPh sb="22" eb="23">
      <t>ト</t>
    </rPh>
    <rPh sb="24" eb="25">
      <t>イ</t>
    </rPh>
    <phoneticPr fontId="1"/>
  </si>
  <si>
    <t>ありたい自分の意識と繋がり、</t>
    <rPh sb="4" eb="6">
      <t>ジブン</t>
    </rPh>
    <rPh sb="7" eb="9">
      <t>イシキ</t>
    </rPh>
    <rPh sb="10" eb="11">
      <t>ツナ</t>
    </rPh>
    <phoneticPr fontId="1"/>
  </si>
  <si>
    <t>本当の自分の声を思い出すことができます。</t>
    <rPh sb="0" eb="2">
      <t>ホントウ</t>
    </rPh>
    <rPh sb="3" eb="5">
      <t>ジブン</t>
    </rPh>
    <rPh sb="6" eb="7">
      <t>コエ</t>
    </rPh>
    <rPh sb="8" eb="9">
      <t>オモ</t>
    </rPh>
    <rPh sb="10" eb="11">
      <t>ダ</t>
    </rPh>
    <phoneticPr fontId="1"/>
  </si>
  <si>
    <t>　　　あなたをサポートするカラー</t>
    <phoneticPr fontId="1"/>
  </si>
  <si>
    <t>マスター№がある場合は</t>
    <rPh sb="8" eb="10">
      <t>バアイ</t>
    </rPh>
    <phoneticPr fontId="1"/>
  </si>
  <si>
    <t>新規入力を押して全ての該当数字を</t>
    <rPh sb="0" eb="2">
      <t>シンキ</t>
    </rPh>
    <rPh sb="2" eb="4">
      <t>ニュウリョク</t>
    </rPh>
    <rPh sb="5" eb="6">
      <t>オ</t>
    </rPh>
    <rPh sb="8" eb="9">
      <t>スベ</t>
    </rPh>
    <rPh sb="11" eb="13">
      <t>ガイトウ</t>
    </rPh>
    <rPh sb="13" eb="15">
      <t>スウジ</t>
    </rPh>
    <phoneticPr fontId="1"/>
  </si>
  <si>
    <t>入力しなおしてください。</t>
    <rPh sb="0" eb="2">
      <t>ニュウリョク</t>
    </rPh>
    <phoneticPr fontId="1"/>
  </si>
  <si>
    <t>≪対応ページ②～④≫</t>
    <rPh sb="1" eb="3">
      <t>タイオウ</t>
    </rPh>
    <phoneticPr fontId="1"/>
  </si>
  <si>
    <t>エネルギー過多</t>
    <rPh sb="5" eb="7">
      <t>カタ</t>
    </rPh>
    <phoneticPr fontId="1"/>
  </si>
  <si>
    <t>エネルギー過少</t>
    <rPh sb="5" eb="7">
      <t>カショウ</t>
    </rPh>
    <phoneticPr fontId="1"/>
  </si>
  <si>
    <t>元々、持って生まれた基本となる資質は、絶対なる唯一の存在。　
強い意志力と行動力で前進していくパワーの持ち主。主役であることで自信が保たれ、常に周りを明るく照らし人々に勇気を与えます。　　　　　　　　　　　　　　　　　　　　　　　　　　　　　　　　　　　　　　　　　　　　　　　　　　　　　　　　　　　　　　　　             　　　　　　　　　　　無意識に誰よりも率先して動くために、自然とリーダーとしての役回りになることが多い。</t>
    <rPh sb="0" eb="2">
      <t>モトモト</t>
    </rPh>
    <rPh sb="3" eb="4">
      <t>モ</t>
    </rPh>
    <rPh sb="6" eb="7">
      <t>ウ</t>
    </rPh>
    <rPh sb="10" eb="12">
      <t>キホン</t>
    </rPh>
    <rPh sb="15" eb="17">
      <t>シシツ</t>
    </rPh>
    <rPh sb="180" eb="183">
      <t>ムイシキ</t>
    </rPh>
    <rPh sb="184" eb="185">
      <t>ダレ</t>
    </rPh>
    <rPh sb="188" eb="190">
      <t>ソッセン</t>
    </rPh>
    <rPh sb="192" eb="193">
      <t>ウゴ</t>
    </rPh>
    <rPh sb="198" eb="200">
      <t>シゼン</t>
    </rPh>
    <rPh sb="209" eb="211">
      <t>ヤクマワ</t>
    </rPh>
    <rPh sb="218" eb="219">
      <t>オオ</t>
    </rPh>
    <phoneticPr fontId="1"/>
  </si>
  <si>
    <t>「自信」のキーワードを潜在のテーマに持ちます。基本的に努力家。負けず嫌いな面があり、一度自分で決めたことはやり通す強い意志を持ち合わせています。一番へのこだわりも人一倍。　
影での努力を惜しみません。人と同じことは苦手。独立心が旺盛なチャレンジャー。 
まわりからの評価が自信のある無しに影響しやすい。</t>
    <rPh sb="1" eb="3">
      <t>ジシン</t>
    </rPh>
    <rPh sb="11" eb="13">
      <t>センザイ</t>
    </rPh>
    <rPh sb="18" eb="19">
      <t>モ</t>
    </rPh>
    <rPh sb="23" eb="26">
      <t>キホンテキ</t>
    </rPh>
    <rPh sb="27" eb="30">
      <t>ドリョクカ</t>
    </rPh>
    <rPh sb="31" eb="32">
      <t>マ</t>
    </rPh>
    <rPh sb="34" eb="35">
      <t>ギラ</t>
    </rPh>
    <rPh sb="37" eb="38">
      <t>メン</t>
    </rPh>
    <rPh sb="42" eb="44">
      <t>イチド</t>
    </rPh>
    <rPh sb="44" eb="46">
      <t>ジブン</t>
    </rPh>
    <rPh sb="47" eb="48">
      <t>キ</t>
    </rPh>
    <rPh sb="55" eb="56">
      <t>トオ</t>
    </rPh>
    <rPh sb="57" eb="58">
      <t>ツヨ</t>
    </rPh>
    <rPh sb="59" eb="61">
      <t>イシ</t>
    </rPh>
    <rPh sb="62" eb="63">
      <t>モ</t>
    </rPh>
    <rPh sb="64" eb="65">
      <t>ア</t>
    </rPh>
    <rPh sb="72" eb="74">
      <t>イチバン</t>
    </rPh>
    <rPh sb="81" eb="84">
      <t>ヒトイチバイ</t>
    </rPh>
    <rPh sb="87" eb="88">
      <t>カゲ</t>
    </rPh>
    <rPh sb="90" eb="92">
      <t>ドリョク</t>
    </rPh>
    <rPh sb="93" eb="94">
      <t>オ</t>
    </rPh>
    <rPh sb="100" eb="101">
      <t>ヒト</t>
    </rPh>
    <rPh sb="102" eb="103">
      <t>オナ</t>
    </rPh>
    <rPh sb="107" eb="109">
      <t>ニガテ</t>
    </rPh>
    <rPh sb="110" eb="113">
      <t>ドクリツシン</t>
    </rPh>
    <rPh sb="114" eb="116">
      <t>オウセイ</t>
    </rPh>
    <rPh sb="133" eb="135">
      <t>ヒョウカ</t>
    </rPh>
    <rPh sb="136" eb="138">
      <t>ジシン</t>
    </rPh>
    <rPh sb="141" eb="142">
      <t>ナ</t>
    </rPh>
    <rPh sb="144" eb="146">
      <t>エイキョウ</t>
    </rPh>
    <phoneticPr fontId="1"/>
  </si>
  <si>
    <t>有名人では、明石家さんま、矢沢永吉などが誕生数に「１」を持っています。
決断力、行動力に優れ、人の先頭に立って物事に取り組みます。じっとしていることが苦手。　　　　　　　　　　　　　　　　　　　　　　　　　　　
どこにいても自然と目立つ存在。人から注目され、称賛されるとさらにその個性を発揮します。</t>
    <rPh sb="0" eb="3">
      <t>ユウメイジン</t>
    </rPh>
    <rPh sb="6" eb="9">
      <t>アカシヤ</t>
    </rPh>
    <rPh sb="13" eb="15">
      <t>ヤザワ</t>
    </rPh>
    <rPh sb="15" eb="17">
      <t>エイキチ</t>
    </rPh>
    <rPh sb="20" eb="22">
      <t>タンジョウ</t>
    </rPh>
    <rPh sb="22" eb="23">
      <t>スウ</t>
    </rPh>
    <rPh sb="28" eb="29">
      <t>モ</t>
    </rPh>
    <rPh sb="36" eb="39">
      <t>ケツダンリョク</t>
    </rPh>
    <rPh sb="40" eb="43">
      <t>コウドウリョク</t>
    </rPh>
    <rPh sb="44" eb="45">
      <t>スグ</t>
    </rPh>
    <rPh sb="47" eb="48">
      <t>ヒト</t>
    </rPh>
    <rPh sb="49" eb="51">
      <t>セントウ</t>
    </rPh>
    <rPh sb="52" eb="53">
      <t>タ</t>
    </rPh>
    <rPh sb="55" eb="57">
      <t>モノゴト</t>
    </rPh>
    <rPh sb="58" eb="59">
      <t>ト</t>
    </rPh>
    <rPh sb="60" eb="61">
      <t>ク</t>
    </rPh>
    <rPh sb="75" eb="77">
      <t>ニガテ</t>
    </rPh>
    <rPh sb="112" eb="114">
      <t>シゼン</t>
    </rPh>
    <rPh sb="115" eb="117">
      <t>メダ</t>
    </rPh>
    <rPh sb="118" eb="120">
      <t>ソンザイ</t>
    </rPh>
    <rPh sb="121" eb="122">
      <t>ヒト</t>
    </rPh>
    <rPh sb="124" eb="126">
      <t>チュウモク</t>
    </rPh>
    <rPh sb="129" eb="131">
      <t>ショウサン</t>
    </rPh>
    <rPh sb="140" eb="142">
      <t>コセイ</t>
    </rPh>
    <rPh sb="143" eb="145">
      <t>ハッキ</t>
    </rPh>
    <phoneticPr fontId="1"/>
  </si>
  <si>
    <t>その正義感が相手にとって支配的、強行的に物事を推し進める傾向となります。  
また、エネルギーが切れるまで突き抜けようとします。</t>
    <phoneticPr fontId="1"/>
  </si>
  <si>
    <t>完璧への強迫観念から、自信がなくなると自分をあきらめるなどの傾向となります。
１は、「自信」と「自分の人生の主役を生きる」がテーマ。　
エネルギッシュに動くことで不安と自信のバランスを取り、また、１番や主役にこだわります。</t>
    <phoneticPr fontId="1"/>
  </si>
  <si>
    <t>元々、持って生まれた基本となる資質は、繊細なロマンティスト。　
社交的で協調性があり、誰からも慕われるキャラクター。　影にまわりリーダーを支える、人と人を繋ぐなど、調和を大切にできる資質を持ちます。　　　　　　　　　　　　　　　　　　　　　　　　　　　　　　　　　　　　　　　　　　　　　　　　　　　　　　　　　　　　　　　　　　　　　　　　　　　　　　敏感に人の心を察する能力、バランスを取る能力を生まれながらに兼ね備えています。美しいものや食に関心を持ち、衣食住を大切にする母性の強い人。　　　　　　　　　　</t>
    <rPh sb="0" eb="2">
      <t>モトモト</t>
    </rPh>
    <rPh sb="3" eb="4">
      <t>モ</t>
    </rPh>
    <rPh sb="6" eb="7">
      <t>ウ</t>
    </rPh>
    <rPh sb="10" eb="12">
      <t>キホン</t>
    </rPh>
    <rPh sb="15" eb="17">
      <t>シシツ</t>
    </rPh>
    <rPh sb="59" eb="60">
      <t>カゲ</t>
    </rPh>
    <rPh sb="82" eb="84">
      <t>チョウワ</t>
    </rPh>
    <rPh sb="85" eb="87">
      <t>タイセツ</t>
    </rPh>
    <rPh sb="91" eb="93">
      <t>シシツ</t>
    </rPh>
    <rPh sb="94" eb="95">
      <t>モ</t>
    </rPh>
    <rPh sb="187" eb="189">
      <t>ノウリョク</t>
    </rPh>
    <rPh sb="195" eb="196">
      <t>ト</t>
    </rPh>
    <rPh sb="197" eb="199">
      <t>ノウリョク</t>
    </rPh>
    <rPh sb="200" eb="201">
      <t>ウ</t>
    </rPh>
    <rPh sb="207" eb="208">
      <t>カ</t>
    </rPh>
    <rPh sb="209" eb="210">
      <t>ソナ</t>
    </rPh>
    <phoneticPr fontId="1"/>
  </si>
  <si>
    <t>「セルフイメージ＝過小評価」のキーワードを潜在のテーマに持ちます。自分が前に出ることより、後方で的確なサポートをすることが得意。  つい自分を後回しにしてまでも、人に尽くそうとする傾向があります。争ってまで何かを勝ち取ろうとはしませんが、本来、野心家の資質も持ち合わせておりリーダーが不在の場合はリーダーの役で組織をまとめます。</t>
    <rPh sb="9" eb="11">
      <t>カショウ</t>
    </rPh>
    <rPh sb="11" eb="13">
      <t>ヒョウカ</t>
    </rPh>
    <rPh sb="21" eb="23">
      <t>センザイ</t>
    </rPh>
    <rPh sb="28" eb="29">
      <t>モ</t>
    </rPh>
    <rPh sb="98" eb="99">
      <t>アラソ</t>
    </rPh>
    <rPh sb="103" eb="104">
      <t>ナニ</t>
    </rPh>
    <rPh sb="106" eb="107">
      <t>カ</t>
    </rPh>
    <rPh sb="108" eb="109">
      <t>ト</t>
    </rPh>
    <rPh sb="142" eb="144">
      <t>フザイ</t>
    </rPh>
    <rPh sb="145" eb="147">
      <t>バアイ</t>
    </rPh>
    <rPh sb="153" eb="154">
      <t>ヤク</t>
    </rPh>
    <rPh sb="155" eb="157">
      <t>ソシキ</t>
    </rPh>
    <phoneticPr fontId="1"/>
  </si>
  <si>
    <t>有名人では、ダチョウ倶楽部の上島竜兵、和田アキ子などが誕生数に「２」を持っています。
親しみやすく、穏やかな雰囲気。人との繫がりを大切にする、気配りのできる人。争い事が苦手。
人との交流の輪を広げること、人と人、人と物などを繋ぐことが得意です。</t>
    <rPh sb="0" eb="3">
      <t>ユウメイジン</t>
    </rPh>
    <rPh sb="10" eb="13">
      <t>クラブ</t>
    </rPh>
    <rPh sb="14" eb="16">
      <t>ウエシマ</t>
    </rPh>
    <rPh sb="16" eb="18">
      <t>リュウヘイ</t>
    </rPh>
    <rPh sb="19" eb="21">
      <t>ワダ</t>
    </rPh>
    <rPh sb="23" eb="24">
      <t>コ</t>
    </rPh>
    <rPh sb="27" eb="29">
      <t>タンジョウ</t>
    </rPh>
    <rPh sb="29" eb="30">
      <t>スウ</t>
    </rPh>
    <rPh sb="35" eb="36">
      <t>モ</t>
    </rPh>
    <rPh sb="43" eb="44">
      <t>シタ</t>
    </rPh>
    <rPh sb="50" eb="51">
      <t>オダ</t>
    </rPh>
    <rPh sb="54" eb="57">
      <t>フンイキ</t>
    </rPh>
    <rPh sb="58" eb="59">
      <t>ヒト</t>
    </rPh>
    <rPh sb="61" eb="62">
      <t>ツナ</t>
    </rPh>
    <rPh sb="65" eb="67">
      <t>タイセツ</t>
    </rPh>
    <rPh sb="71" eb="73">
      <t>キクバ</t>
    </rPh>
    <rPh sb="78" eb="79">
      <t>ヒト</t>
    </rPh>
    <rPh sb="80" eb="81">
      <t>アラソ</t>
    </rPh>
    <rPh sb="82" eb="83">
      <t>コト</t>
    </rPh>
    <rPh sb="84" eb="86">
      <t>ニガテ</t>
    </rPh>
    <rPh sb="88" eb="89">
      <t>ヒト</t>
    </rPh>
    <rPh sb="91" eb="93">
      <t>コウリュウ</t>
    </rPh>
    <rPh sb="94" eb="95">
      <t>ワ</t>
    </rPh>
    <rPh sb="96" eb="97">
      <t>ヒロ</t>
    </rPh>
    <rPh sb="102" eb="103">
      <t>ヒト</t>
    </rPh>
    <rPh sb="104" eb="105">
      <t>ヒト</t>
    </rPh>
    <rPh sb="106" eb="107">
      <t>ヒト</t>
    </rPh>
    <rPh sb="108" eb="109">
      <t>モノ</t>
    </rPh>
    <rPh sb="112" eb="113">
      <t>ツナ</t>
    </rPh>
    <rPh sb="117" eb="119">
      <t>トクイ</t>
    </rPh>
    <phoneticPr fontId="1"/>
  </si>
  <si>
    <t>人の為に尽くそうとするエネルギーが度を超え、おせっかいや分裂を生むよう言動に。
抑えていた感情がコントロールできなくなり自己嫌悪に陥ります。</t>
    <phoneticPr fontId="1"/>
  </si>
  <si>
    <t>他人を優先させ自分を後回しにする、自己犠牲、責任を背負い込むなど、自分を追い込む方向にエネルギーが働きます。</t>
    <phoneticPr fontId="1"/>
  </si>
  <si>
    <t>元々、持って生まれた基本となる資質は、多芸多才な夢想家。天性のエンターティナー。
話し上手で人を楽しませることが得意。創造力が豊かで、オリジナルなものを生み出し、楽しむことにエネルギーを惜しみなく費やします。人を驚かせるサプライズや、ワクワクする計画を立てるなど、アイディアがひらめきます。　繊細な感覚、感受性を備えており、自分らしさ、個性を大切にしたい人です。　　　　　　　　　　　　　　　　　　　　　　　　　　　　　　　　　　　　　　　　　　　　　　　</t>
    <rPh sb="0" eb="2">
      <t>モトモト</t>
    </rPh>
    <rPh sb="3" eb="4">
      <t>モ</t>
    </rPh>
    <rPh sb="6" eb="7">
      <t>ウ</t>
    </rPh>
    <rPh sb="10" eb="12">
      <t>キホン</t>
    </rPh>
    <rPh sb="15" eb="17">
      <t>シシツ</t>
    </rPh>
    <rPh sb="162" eb="164">
      <t>ジブン</t>
    </rPh>
    <rPh sb="168" eb="170">
      <t>コセイ</t>
    </rPh>
    <rPh sb="171" eb="173">
      <t>タイセツ</t>
    </rPh>
    <rPh sb="177" eb="178">
      <t>ヒト</t>
    </rPh>
    <phoneticPr fontId="1"/>
  </si>
  <si>
    <t>「インナーチャイルド＝母親との関わり」のキーワードを潜在のテーマに持ちます。　
 注目されることで愛情を確認する傾向があります。目立つこと、にぎやかで楽しいことが好きな反面、いざ目立ち過ぎると不安になり、急に自信が持てなくなってしまうことも。
基本的には、型にはまることが苦手。言葉を使っての表現、アート、歌、文章を書くなどで才能を発揮します。</t>
    <rPh sb="11" eb="13">
      <t>ハハオヤ</t>
    </rPh>
    <rPh sb="15" eb="16">
      <t>カカ</t>
    </rPh>
    <rPh sb="26" eb="28">
      <t>センザイ</t>
    </rPh>
    <rPh sb="33" eb="34">
      <t>モ</t>
    </rPh>
    <rPh sb="41" eb="43">
      <t>チュウモク</t>
    </rPh>
    <rPh sb="49" eb="51">
      <t>アイジョウ</t>
    </rPh>
    <rPh sb="52" eb="54">
      <t>カクニン</t>
    </rPh>
    <rPh sb="56" eb="58">
      <t>ケイコウ</t>
    </rPh>
    <rPh sb="64" eb="66">
      <t>メダ</t>
    </rPh>
    <rPh sb="75" eb="76">
      <t>タノ</t>
    </rPh>
    <rPh sb="81" eb="82">
      <t>ス</t>
    </rPh>
    <rPh sb="84" eb="86">
      <t>ハンメン</t>
    </rPh>
    <rPh sb="89" eb="91">
      <t>メダ</t>
    </rPh>
    <rPh sb="92" eb="93">
      <t>ス</t>
    </rPh>
    <rPh sb="96" eb="98">
      <t>フアン</t>
    </rPh>
    <rPh sb="102" eb="103">
      <t>キュウ</t>
    </rPh>
    <rPh sb="104" eb="106">
      <t>ジシン</t>
    </rPh>
    <rPh sb="107" eb="108">
      <t>モ</t>
    </rPh>
    <rPh sb="122" eb="125">
      <t>キホンテキ</t>
    </rPh>
    <rPh sb="128" eb="129">
      <t>カタ</t>
    </rPh>
    <rPh sb="136" eb="138">
      <t>ニガテ</t>
    </rPh>
    <rPh sb="139" eb="141">
      <t>コトバ</t>
    </rPh>
    <rPh sb="142" eb="143">
      <t>ツカ</t>
    </rPh>
    <rPh sb="146" eb="148">
      <t>ヒョウゲン</t>
    </rPh>
    <rPh sb="153" eb="154">
      <t>ウタ</t>
    </rPh>
    <rPh sb="155" eb="157">
      <t>ブンショウ</t>
    </rPh>
    <rPh sb="158" eb="159">
      <t>カ</t>
    </rPh>
    <rPh sb="163" eb="165">
      <t>サイノウ</t>
    </rPh>
    <rPh sb="166" eb="168">
      <t>ハッキ</t>
    </rPh>
    <phoneticPr fontId="1"/>
  </si>
  <si>
    <t>有名人では、宮崎駿、久本雅美などが誕生数に「３」を持っています。
子供のように好奇心旺盛で、社交的。独特な個性と芸術的センス、創造力を活かすことが得意な右脳タイプ。
感性や直感を優先させます。　　　                                              　　　　　　　　　　　　　　　　　　　　　　　　　　　　　　　　　　　　　　　　　　　　　　　　　　　　　　　　　　　　　　                                                                            　　　　　　　　　　　　　　　　　　　　　　　　　　　　　　　　　　　　笑いのセンスがあり、飾りっ気のないあなたのまわりには明るさを求めて人が集まってきます。　　　　　　　　　　　　　　　　　　　　　　　　　　　　　　　　　　　　　　　　　　　                          　　　　　　　　　　</t>
    <rPh sb="0" eb="3">
      <t>ユウメイジン</t>
    </rPh>
    <rPh sb="6" eb="8">
      <t>ミヤザキ</t>
    </rPh>
    <rPh sb="8" eb="9">
      <t>ハヤオ</t>
    </rPh>
    <rPh sb="10" eb="12">
      <t>ヒサモト</t>
    </rPh>
    <rPh sb="12" eb="14">
      <t>マサミ</t>
    </rPh>
    <rPh sb="17" eb="19">
      <t>タンジョウ</t>
    </rPh>
    <rPh sb="19" eb="20">
      <t>スウ</t>
    </rPh>
    <rPh sb="25" eb="26">
      <t>モ</t>
    </rPh>
    <rPh sb="46" eb="49">
      <t>シャコウテキ</t>
    </rPh>
    <rPh sb="50" eb="52">
      <t>ドクトク</t>
    </rPh>
    <rPh sb="53" eb="55">
      <t>コセイ</t>
    </rPh>
    <rPh sb="56" eb="59">
      <t>ゲイジュツテキ</t>
    </rPh>
    <rPh sb="63" eb="66">
      <t>ソウゾウリョク</t>
    </rPh>
    <rPh sb="67" eb="68">
      <t>イ</t>
    </rPh>
    <rPh sb="73" eb="75">
      <t>トクイ</t>
    </rPh>
    <rPh sb="76" eb="78">
      <t>ウノウ</t>
    </rPh>
    <rPh sb="83" eb="85">
      <t>カンセイ</t>
    </rPh>
    <rPh sb="86" eb="88">
      <t>チョッカン</t>
    </rPh>
    <rPh sb="89" eb="91">
      <t>ユウセン</t>
    </rPh>
    <rPh sb="319" eb="320">
      <t>ワラ</t>
    </rPh>
    <phoneticPr fontId="1"/>
  </si>
  <si>
    <t>感情を優先させるあまり、「好奇心旺盛」「探求心」が無計画、散漫に働きます。
また、感情の浮き沈みが激しくなり、「注目されたい思い」がわがままに働きます。</t>
    <phoneticPr fontId="1"/>
  </si>
  <si>
    <t>「寂しさ」や「満たされない思い」などの感情を味わいやすくなります。 
「目立ちたいけど怖い」思いが、自己否定・自己犠牲に働きます。</t>
    <phoneticPr fontId="1"/>
  </si>
  <si>
    <t>元々、持って生まれた基本となる資質は、真面目で几帳面な努力家。
計画的にコツコツと物事に取り組むことができ、周りからの信頼を集めます。責任感が強く、一度始めたことは最後までやり遂げる継続性に優れています。　　　　　                                                                                                                      自分に正直。意外に頑固さをも持ち合わせています。　
目標に向かって着実に計画を推し進める堅実な思考の持ち主です。　　　　　　　　　　　　　　　　　　　　　</t>
    <rPh sb="0" eb="2">
      <t>モトモト</t>
    </rPh>
    <rPh sb="3" eb="4">
      <t>モ</t>
    </rPh>
    <rPh sb="6" eb="7">
      <t>ウ</t>
    </rPh>
    <rPh sb="10" eb="12">
      <t>キホン</t>
    </rPh>
    <rPh sb="15" eb="17">
      <t>シシツ</t>
    </rPh>
    <rPh sb="272" eb="274">
      <t>シコウ</t>
    </rPh>
    <rPh sb="275" eb="276">
      <t>モ</t>
    </rPh>
    <rPh sb="277" eb="278">
      <t>ヌシ</t>
    </rPh>
    <phoneticPr fontId="1"/>
  </si>
  <si>
    <t>「過大な期待を背負う」が潜在のテーマ。忍耐力、責任感があり、じっくりと物事に取り組むことができます。何事も途中で投げ出さず、きちんとカタチにする能力に優れています。
 周囲からの期待に応えるために勉強や仕事では努力を惜しみません。 しっかりとした芯を持ちながらも、謙虚さ、慈悲深さを兼ね備えており、穏やかで物静かな印象を人に与えます。</t>
    <rPh sb="1" eb="3">
      <t>カダイ</t>
    </rPh>
    <rPh sb="4" eb="6">
      <t>キタイ</t>
    </rPh>
    <rPh sb="7" eb="9">
      <t>セオ</t>
    </rPh>
    <rPh sb="12" eb="14">
      <t>センザイ</t>
    </rPh>
    <rPh sb="19" eb="22">
      <t>ニンタイリョク</t>
    </rPh>
    <rPh sb="23" eb="26">
      <t>セキニンカン</t>
    </rPh>
    <rPh sb="35" eb="37">
      <t>モノゴト</t>
    </rPh>
    <rPh sb="38" eb="39">
      <t>ト</t>
    </rPh>
    <rPh sb="40" eb="41">
      <t>ク</t>
    </rPh>
    <rPh sb="50" eb="52">
      <t>ナニゴト</t>
    </rPh>
    <rPh sb="53" eb="55">
      <t>トチュウ</t>
    </rPh>
    <rPh sb="56" eb="57">
      <t>ナ</t>
    </rPh>
    <rPh sb="58" eb="59">
      <t>ダ</t>
    </rPh>
    <rPh sb="72" eb="74">
      <t>ノウリョク</t>
    </rPh>
    <rPh sb="75" eb="76">
      <t>スグ</t>
    </rPh>
    <rPh sb="84" eb="86">
      <t>シュウイ</t>
    </rPh>
    <rPh sb="89" eb="91">
      <t>キタイ</t>
    </rPh>
    <rPh sb="92" eb="93">
      <t>コタ</t>
    </rPh>
    <rPh sb="98" eb="100">
      <t>ベンキョウ</t>
    </rPh>
    <rPh sb="101" eb="103">
      <t>シゴト</t>
    </rPh>
    <rPh sb="105" eb="107">
      <t>ドリョク</t>
    </rPh>
    <rPh sb="108" eb="109">
      <t>オ</t>
    </rPh>
    <rPh sb="123" eb="124">
      <t>シン</t>
    </rPh>
    <rPh sb="125" eb="126">
      <t>モ</t>
    </rPh>
    <rPh sb="132" eb="134">
      <t>ケンキョ</t>
    </rPh>
    <rPh sb="136" eb="138">
      <t>ジヒ</t>
    </rPh>
    <rPh sb="138" eb="139">
      <t>フカ</t>
    </rPh>
    <rPh sb="141" eb="142">
      <t>カ</t>
    </rPh>
    <rPh sb="143" eb="144">
      <t>ソナ</t>
    </rPh>
    <rPh sb="149" eb="150">
      <t>オダ</t>
    </rPh>
    <rPh sb="153" eb="155">
      <t>モノシズ</t>
    </rPh>
    <rPh sb="157" eb="159">
      <t>インショウ</t>
    </rPh>
    <rPh sb="160" eb="161">
      <t>ヒト</t>
    </rPh>
    <rPh sb="162" eb="163">
      <t>アタ</t>
    </rPh>
    <phoneticPr fontId="1"/>
  </si>
  <si>
    <t>有名人では、タモリ、速水もこみちなどが誕生数に「４」を持っています。
現実的で実益を重視する堅実的な思考の持ち主。ものごとを冷静に捉え、慎重に誠実に人と接します。　　　　　　　　　　　　　　　　　　　　　　　　　　　　　　　　　　　　　　　　　　　　　　　　　　　　　　　　　　　　　　　　　　　　　　　　　　　　　　　　　　　　　　　　　　　　　　　　　　　　　　　　　　　　　　　　　　　　　　　　　　　　　　　自分の安心できる快適なスペースをつくることが得意。
うわべだけの人間関係より、本音を言い合える数少ない友人を大切にし長く付き合います。</t>
    <rPh sb="0" eb="3">
      <t>ユウメイジン</t>
    </rPh>
    <rPh sb="10" eb="12">
      <t>ハヤミ</t>
    </rPh>
    <rPh sb="19" eb="21">
      <t>タンジョウ</t>
    </rPh>
    <rPh sb="21" eb="22">
      <t>スウ</t>
    </rPh>
    <rPh sb="27" eb="28">
      <t>モ</t>
    </rPh>
    <phoneticPr fontId="1"/>
  </si>
  <si>
    <t>真面目さが盲目的に突き進む、または、頑固、融通が利かないなどに傾きます。　
こだわりが強まり、自分のルールに合わないことがストレスに感じます。</t>
    <phoneticPr fontId="1"/>
  </si>
  <si>
    <t>完璧主義の傾向が、保守的、心配性、神経質に傾きやすくなります。
前もって安心の材料が揃っていないと不安や怖れを感じます。</t>
    <phoneticPr fontId="1"/>
  </si>
  <si>
    <t>元々、持って生まれた基本となる資質は、物怖じしない自由人。
何事にも囚われず、どんな変化にもすぐに適応できる、柔軟な思考の持ち主です。　
社交的で、新しい情報に敏感な行動派。情報をわかち合うことが得意。　
決断が早く、過去に執着しないさっぱりとした性格。何事もソツなくこなします。　　　　　　　　　　　　　　　　　　　　　　　　　　　　　　　　　　　　　　　　　　　　　　　　　　　　　　　　　　　　　　　　　　　　　　　　　　　　　　　　　　　　　　　　　　　　　　　　　　　　　　　　　　　自然と人が集まり、幅広い交友関係を保つコミュニケーターです。　　</t>
    <rPh sb="0" eb="2">
      <t>モトモト</t>
    </rPh>
    <rPh sb="3" eb="4">
      <t>モ</t>
    </rPh>
    <rPh sb="6" eb="7">
      <t>ウ</t>
    </rPh>
    <rPh sb="10" eb="12">
      <t>キホン</t>
    </rPh>
    <rPh sb="15" eb="17">
      <t>シシツ</t>
    </rPh>
    <rPh sb="93" eb="94">
      <t>ア</t>
    </rPh>
    <rPh sb="103" eb="105">
      <t>ケツダン</t>
    </rPh>
    <rPh sb="127" eb="129">
      <t>ナニゴト</t>
    </rPh>
    <rPh sb="247" eb="249">
      <t>シゼン</t>
    </rPh>
    <rPh sb="250" eb="251">
      <t>ヒト</t>
    </rPh>
    <rPh sb="252" eb="253">
      <t>アツ</t>
    </rPh>
    <phoneticPr fontId="1"/>
  </si>
  <si>
    <t>「自由」のキーワードを潜在のテーマに持ちます。好奇心旺盛でどんな場所でも物怖じせず溶け込むことができます。話題が豊富なムードメーカー。フットワークが軽く、じっとしていることを好みません。様々な土地の文化や食、アートなどに興味を示します。
平凡であると不安を感じ、自由を求め、次々とドラマティックな変化を求める傾向があります。</t>
    <rPh sb="1" eb="3">
      <t>ジユウ</t>
    </rPh>
    <rPh sb="11" eb="13">
      <t>センザイ</t>
    </rPh>
    <rPh sb="18" eb="19">
      <t>モ</t>
    </rPh>
    <rPh sb="23" eb="26">
      <t>コウキシン</t>
    </rPh>
    <rPh sb="26" eb="28">
      <t>オウセイ</t>
    </rPh>
    <rPh sb="32" eb="34">
      <t>バショ</t>
    </rPh>
    <rPh sb="36" eb="38">
      <t>モノオ</t>
    </rPh>
    <rPh sb="41" eb="42">
      <t>ト</t>
    </rPh>
    <rPh sb="43" eb="44">
      <t>コ</t>
    </rPh>
    <rPh sb="53" eb="55">
      <t>ワダイ</t>
    </rPh>
    <rPh sb="56" eb="58">
      <t>ホウフ</t>
    </rPh>
    <rPh sb="74" eb="75">
      <t>カル</t>
    </rPh>
    <rPh sb="87" eb="88">
      <t>コノ</t>
    </rPh>
    <rPh sb="93" eb="95">
      <t>サマザマ</t>
    </rPh>
    <rPh sb="96" eb="98">
      <t>トチ</t>
    </rPh>
    <rPh sb="99" eb="101">
      <t>ブンカ</t>
    </rPh>
    <rPh sb="102" eb="103">
      <t>ショク</t>
    </rPh>
    <rPh sb="110" eb="112">
      <t>キョウミ</t>
    </rPh>
    <rPh sb="113" eb="114">
      <t>シメ</t>
    </rPh>
    <rPh sb="119" eb="121">
      <t>ヘイボン</t>
    </rPh>
    <rPh sb="125" eb="127">
      <t>フアン</t>
    </rPh>
    <rPh sb="128" eb="129">
      <t>カン</t>
    </rPh>
    <rPh sb="131" eb="133">
      <t>ジユウ</t>
    </rPh>
    <rPh sb="134" eb="135">
      <t>モト</t>
    </rPh>
    <rPh sb="137" eb="139">
      <t>ツギツギ</t>
    </rPh>
    <rPh sb="148" eb="150">
      <t>ヘンカ</t>
    </rPh>
    <rPh sb="151" eb="152">
      <t>モト</t>
    </rPh>
    <rPh sb="154" eb="156">
      <t>ケイコウ</t>
    </rPh>
    <phoneticPr fontId="1"/>
  </si>
  <si>
    <t>有名人では、宇多田ヒカル、孫正義などが誕生数に「５」を持っています。
人間愛に満ち溢れ、誰とでもどんな場所ででもすぐに順応することができます。
多趣味で話題が豊富。　　　　　　　　　　　　　　　　　　　　　　　　　　　　　　　　　　　　　　　　　　　　　　　　　　　　　　　　　　　
五感をフルに使って人と繋がり、繋がり得た情報をわかち合うことを歓びとします。　
海外にも興味を示し、未知なる体験を求めて活発に行動します。　　　　　　　　　　　　　　　　　　　　　　　　　　　　　　　　　　　　　　　　　　　　　　　　　　　　　　　　　　　　　　　　　　　　　　</t>
    <rPh sb="0" eb="3">
      <t>ユウメイジン</t>
    </rPh>
    <rPh sb="6" eb="9">
      <t>ウタダ</t>
    </rPh>
    <rPh sb="13" eb="14">
      <t>ソン</t>
    </rPh>
    <rPh sb="14" eb="16">
      <t>マサヨシ</t>
    </rPh>
    <rPh sb="19" eb="21">
      <t>タンジョウ</t>
    </rPh>
    <rPh sb="21" eb="22">
      <t>スウ</t>
    </rPh>
    <rPh sb="27" eb="28">
      <t>モ</t>
    </rPh>
    <rPh sb="72" eb="75">
      <t>タシュミ</t>
    </rPh>
    <rPh sb="76" eb="78">
      <t>ワダイ</t>
    </rPh>
    <rPh sb="79" eb="81">
      <t>ホウフ</t>
    </rPh>
    <phoneticPr fontId="1"/>
  </si>
  <si>
    <t>束縛を嫌い、偽りの自由を外に求めます。　
快楽的、衝動的な行動に傾き、あきらめが早く、新しい環境、状況へ現実逃避するなど、良くも悪くも周りの人を巻き込みます。</t>
    <rPh sb="6" eb="7">
      <t>イツワ</t>
    </rPh>
    <rPh sb="9" eb="11">
      <t>ジユウ</t>
    </rPh>
    <rPh sb="12" eb="13">
      <t>ソト</t>
    </rPh>
    <rPh sb="14" eb="15">
      <t>モト</t>
    </rPh>
    <rPh sb="40" eb="41">
      <t>ハヤ</t>
    </rPh>
    <rPh sb="43" eb="44">
      <t>アタラ</t>
    </rPh>
    <rPh sb="46" eb="48">
      <t>カンキョウ</t>
    </rPh>
    <rPh sb="49" eb="51">
      <t>ジョウキョウ</t>
    </rPh>
    <rPh sb="61" eb="62">
      <t>ヨ</t>
    </rPh>
    <rPh sb="64" eb="65">
      <t>ワル</t>
    </rPh>
    <phoneticPr fontId="1"/>
  </si>
  <si>
    <t>不安定さを自ら増幅させ、問題を大きくさせることで、自分の不自由さをアピールします。
やがてはわがまま、または依存の関係を生みます。</t>
    <phoneticPr fontId="1"/>
  </si>
  <si>
    <t>元々、持って生まれた基本となる資質は、人の心を包み込む、母性と調和の人。
人の感情を素早くキャッチし、困っている人には優しく手を差し伸べます。お世話好きで面倒見がよい人情家。　　　　　　　　　　　　　　　　　　　　　　　　　　　　　　　　　　　　　　　　　　　　　　　　　　　　　　　　　　　　　　　　　　　　　　　　　　　　　　　　　　　　　　　　　　　　　　　　　　　　　　　　　　　　　　　　　　　素直なあなたに心を開き、癒しを求めて、人が自然と集まってきます。</t>
    <rPh sb="0" eb="2">
      <t>モトモト</t>
    </rPh>
    <rPh sb="3" eb="4">
      <t>モ</t>
    </rPh>
    <rPh sb="6" eb="7">
      <t>ウ</t>
    </rPh>
    <rPh sb="10" eb="12">
      <t>キホン</t>
    </rPh>
    <rPh sb="15" eb="17">
      <t>シシツ</t>
    </rPh>
    <phoneticPr fontId="1"/>
  </si>
  <si>
    <t>「愛情」のキーワードを潜在のテーマに持ちます。男女とも穏やかな雰囲気で癒し系。
身近な人の為に献身的に尽くすことができます。常に自分が愛されているか、まわりの評価を気にします。本来、美しいものが好きで、音楽やアート、踊り、ファッションや美容などに興味を示し自らも整えます。</t>
    <rPh sb="1" eb="3">
      <t>アイジョウ</t>
    </rPh>
    <rPh sb="11" eb="13">
      <t>センザイ</t>
    </rPh>
    <rPh sb="18" eb="19">
      <t>モ</t>
    </rPh>
    <rPh sb="23" eb="25">
      <t>ダンジョ</t>
    </rPh>
    <rPh sb="27" eb="28">
      <t>オダ</t>
    </rPh>
    <rPh sb="31" eb="34">
      <t>フンイキ</t>
    </rPh>
    <rPh sb="35" eb="36">
      <t>イヤ</t>
    </rPh>
    <rPh sb="37" eb="38">
      <t>ケイ</t>
    </rPh>
    <rPh sb="40" eb="42">
      <t>ミジカ</t>
    </rPh>
    <rPh sb="43" eb="44">
      <t>ヒト</t>
    </rPh>
    <rPh sb="45" eb="46">
      <t>タメ</t>
    </rPh>
    <rPh sb="47" eb="50">
      <t>ケンシンテキ</t>
    </rPh>
    <rPh sb="51" eb="52">
      <t>ツ</t>
    </rPh>
    <rPh sb="62" eb="63">
      <t>ツネ</t>
    </rPh>
    <rPh sb="64" eb="66">
      <t>ジブン</t>
    </rPh>
    <rPh sb="67" eb="68">
      <t>アイ</t>
    </rPh>
    <rPh sb="79" eb="81">
      <t>ヒョウカ</t>
    </rPh>
    <rPh sb="82" eb="83">
      <t>キ</t>
    </rPh>
    <rPh sb="88" eb="90">
      <t>ホンライ</t>
    </rPh>
    <rPh sb="91" eb="92">
      <t>ウツク</t>
    </rPh>
    <rPh sb="97" eb="98">
      <t>ス</t>
    </rPh>
    <rPh sb="101" eb="103">
      <t>オンガク</t>
    </rPh>
    <rPh sb="108" eb="109">
      <t>オド</t>
    </rPh>
    <rPh sb="118" eb="120">
      <t>ビヨウ</t>
    </rPh>
    <rPh sb="123" eb="125">
      <t>キョウミ</t>
    </rPh>
    <rPh sb="126" eb="127">
      <t>シメ</t>
    </rPh>
    <rPh sb="128" eb="129">
      <t>ミズカ</t>
    </rPh>
    <rPh sb="131" eb="132">
      <t>トトノ</t>
    </rPh>
    <phoneticPr fontId="1"/>
  </si>
  <si>
    <t>有名人では、笑福亭鶴瓶、小倉優子などが誕生数に「６」を持っています。
人間関係の調和を重んじる、誠実で愛情深い平和主義者。優しく思いやりのある誠実な人。　
周囲の人に細やかな気遣いができ、家庭や職場ではグループのまとめ役、相談役となり精神面で人をサポートします。　　　　　　　　　　　　　　　　　　　　　　　　　　　　　　　　　　　　　　　　　　　　　　　　　　　　　　　　　　　　　　　　　　　　　　　　　　　　　　　感性が豊かで美意識も高く、美しいものを身近に感じる生活スタイルにこだわりを持ちます。</t>
    <rPh sb="0" eb="3">
      <t>ユウメイジン</t>
    </rPh>
    <rPh sb="6" eb="9">
      <t>ショウフクテイ</t>
    </rPh>
    <rPh sb="9" eb="11">
      <t>ツルベ</t>
    </rPh>
    <rPh sb="12" eb="14">
      <t>オグラ</t>
    </rPh>
    <rPh sb="14" eb="16">
      <t>ユウコ</t>
    </rPh>
    <rPh sb="19" eb="21">
      <t>タンジョウ</t>
    </rPh>
    <rPh sb="21" eb="22">
      <t>スウ</t>
    </rPh>
    <rPh sb="27" eb="28">
      <t>モ</t>
    </rPh>
    <phoneticPr fontId="1"/>
  </si>
  <si>
    <t>テーマの「無償の愛」が親切を大きく上回り、おせっかい、独占欲に働きます。
また、相手にもあたり前に「愛情」「やさしさ」を求め、他人より「愛されていること」を確認し優位に立ちたい傾向に傾きます。</t>
    <phoneticPr fontId="1"/>
  </si>
  <si>
    <t>「自分は愛されていない」との思い込み、不安がどんどん加速し、自己犠牲の現象でそれを味わいます。失望感を味わいながら、安心できる居場所を求め続けます。</t>
    <phoneticPr fontId="1"/>
  </si>
  <si>
    <t>元々、持って生まれた基本となる資質は、感受性の強い職人気質。
何事も妥協せず完璧を求め、真実を追求します。冷静な分析力、無駄のない判断力は、常に正しさを求めます。感受性が鋭く、相手の行動を先に読み取る能力にも長けています。　　　　　　　　　　　　　　　　　　　　　　　　　　　　　　　　　　　　　　　　　　　　　　　　　　　　　　　　　　動植物、宇宙とも繋がりやすい繊細さを秘めています。　　　　　　　　　　　　　　　　　　　　　　　　　　　　　　　　　　　　　　　　　　　　　　　　　　　　　　　　　　　　　　　　　　　　　　　　　　　　　　　　　　　</t>
    <rPh sb="0" eb="2">
      <t>モトモト</t>
    </rPh>
    <rPh sb="3" eb="4">
      <t>モ</t>
    </rPh>
    <rPh sb="6" eb="7">
      <t>ウ</t>
    </rPh>
    <rPh sb="10" eb="12">
      <t>キホン</t>
    </rPh>
    <rPh sb="15" eb="17">
      <t>シシツ</t>
    </rPh>
    <rPh sb="31" eb="33">
      <t>ナニゴト</t>
    </rPh>
    <rPh sb="81" eb="84">
      <t>カンジュセイ</t>
    </rPh>
    <rPh sb="85" eb="86">
      <t>スルド</t>
    </rPh>
    <phoneticPr fontId="1"/>
  </si>
  <si>
    <t>「自立」のキーワードを潜在のテーマに持ちます。知的好奇心が旺盛な努力家。専門的な知識に長け、理論的な判断と探求心で独自の世界を切り開きます。　
頭の回転が速く、手先が器用。
大勢でのチームプレイより、一人の時間、空間を大切にしたい人。精神論やスピリチュアルにも興味を示します。</t>
    <rPh sb="1" eb="3">
      <t>ジリツ</t>
    </rPh>
    <rPh sb="11" eb="13">
      <t>センザイ</t>
    </rPh>
    <rPh sb="18" eb="19">
      <t>モ</t>
    </rPh>
    <rPh sb="23" eb="25">
      <t>チテキ</t>
    </rPh>
    <rPh sb="25" eb="28">
      <t>コウキシン</t>
    </rPh>
    <rPh sb="29" eb="31">
      <t>オウセイ</t>
    </rPh>
    <rPh sb="32" eb="35">
      <t>ドリョクカ</t>
    </rPh>
    <rPh sb="36" eb="39">
      <t>センモンテキ</t>
    </rPh>
    <rPh sb="40" eb="42">
      <t>チシキ</t>
    </rPh>
    <rPh sb="43" eb="44">
      <t>タ</t>
    </rPh>
    <rPh sb="46" eb="49">
      <t>リロンテキ</t>
    </rPh>
    <rPh sb="50" eb="52">
      <t>ハンダン</t>
    </rPh>
    <rPh sb="53" eb="55">
      <t>タンキュウ</t>
    </rPh>
    <rPh sb="55" eb="56">
      <t>シン</t>
    </rPh>
    <rPh sb="57" eb="59">
      <t>ドクジ</t>
    </rPh>
    <rPh sb="60" eb="62">
      <t>セカイ</t>
    </rPh>
    <rPh sb="63" eb="64">
      <t>キ</t>
    </rPh>
    <rPh sb="65" eb="66">
      <t>ヒラ</t>
    </rPh>
    <rPh sb="72" eb="73">
      <t>アタマ</t>
    </rPh>
    <rPh sb="74" eb="76">
      <t>カイテン</t>
    </rPh>
    <rPh sb="77" eb="78">
      <t>ハヤ</t>
    </rPh>
    <rPh sb="80" eb="82">
      <t>テサキ</t>
    </rPh>
    <rPh sb="83" eb="85">
      <t>キヨウ</t>
    </rPh>
    <rPh sb="87" eb="89">
      <t>オオゼイ</t>
    </rPh>
    <rPh sb="100" eb="102">
      <t>ヒトリ</t>
    </rPh>
    <rPh sb="103" eb="105">
      <t>ジカン</t>
    </rPh>
    <rPh sb="106" eb="108">
      <t>クウカン</t>
    </rPh>
    <rPh sb="109" eb="111">
      <t>タイセツ</t>
    </rPh>
    <rPh sb="115" eb="116">
      <t>ヒト</t>
    </rPh>
    <phoneticPr fontId="1"/>
  </si>
  <si>
    <t>有名人では、木村拓哉、イチローなどが誕生数に「７」を持っています。
繊細でナイーブな面を持ち、マイペースで独自の世界を確立します。
探求心旺盛で、自分が興味を持ったものにはとことんこだわりを持ちます。
物事を決める基準は、感情より知識や経験、データを重要視させる左脳型。
何でも器用にこなし、物事を理解するのに時間を要しません。</t>
    <rPh sb="0" eb="3">
      <t>ユウメイジン</t>
    </rPh>
    <rPh sb="6" eb="8">
      <t>キムラ</t>
    </rPh>
    <rPh sb="8" eb="10">
      <t>タクヤ</t>
    </rPh>
    <rPh sb="18" eb="20">
      <t>タンジョウ</t>
    </rPh>
    <rPh sb="20" eb="21">
      <t>スウ</t>
    </rPh>
    <rPh sb="26" eb="27">
      <t>モ</t>
    </rPh>
    <phoneticPr fontId="1"/>
  </si>
  <si>
    <t>冷静な判断力が自己中心的、他者批判に傾きます。
完璧主義、プライドの目が自分にも他人にも向けられ、正しさを追求する姿勢が、時に自分を追い込んでしまいます。</t>
    <rPh sb="49" eb="50">
      <t>タダ</t>
    </rPh>
    <rPh sb="53" eb="55">
      <t>ツイキュウ</t>
    </rPh>
    <rPh sb="57" eb="59">
      <t>シセイ</t>
    </rPh>
    <rPh sb="61" eb="62">
      <t>トキ</t>
    </rPh>
    <rPh sb="63" eb="65">
      <t>ジブン</t>
    </rPh>
    <rPh sb="66" eb="67">
      <t>オ</t>
    </rPh>
    <rPh sb="68" eb="69">
      <t>コ</t>
    </rPh>
    <phoneticPr fontId="1"/>
  </si>
  <si>
    <t>本質に向き合い過ぎると、自分一人の世界に入り込みやすく孤独感を味わう、
現実逃避するなど、他人を信頼することをあきらめます。</t>
    <phoneticPr fontId="1"/>
  </si>
  <si>
    <t xml:space="preserve">元々、持って生まれた基本となる資質は、パワフルな体育会系の熱い人。
意欲、情熱を内に秘め、何事にも前進あるのみのファイター。  ビジネスセンス、行動力、実行力があり、困難を乗り越え達成する能力に長けています。
グループを率いて目標達成することにエネルギーを注ぐことができます。　　　　　　　　　　　　　　　　　　　　　　　　　　　　　　　　　　　　　　　　　　　　　　　　　　　　                                                        　　　　　　　　　　　　　　　　　　　　　　　　　　　　　　　　　　　　　　　　　　　　　　　　　　　　　　　　　　　                                                                                      情に厚く、人に慕われやすい性格。常に挑戦していく状況を自ら創り出す傾向があります。                                              </t>
    <rPh sb="0" eb="2">
      <t>モトモト</t>
    </rPh>
    <rPh sb="3" eb="4">
      <t>モ</t>
    </rPh>
    <rPh sb="6" eb="7">
      <t>ウ</t>
    </rPh>
    <rPh sb="10" eb="12">
      <t>キホン</t>
    </rPh>
    <rPh sb="15" eb="17">
      <t>シシツ</t>
    </rPh>
    <rPh sb="83" eb="85">
      <t>コンナン</t>
    </rPh>
    <rPh sb="86" eb="87">
      <t>ノ</t>
    </rPh>
    <rPh sb="88" eb="89">
      <t>コ</t>
    </rPh>
    <rPh sb="90" eb="92">
      <t>タッセイ</t>
    </rPh>
    <rPh sb="94" eb="96">
      <t>ノウリョク</t>
    </rPh>
    <rPh sb="97" eb="98">
      <t>タ</t>
    </rPh>
    <rPh sb="422" eb="423">
      <t>ダ</t>
    </rPh>
    <rPh sb="424" eb="426">
      <t>ケイコウ</t>
    </rPh>
    <phoneticPr fontId="1"/>
  </si>
  <si>
    <t>「困難に挑む＝頑張る」のキーワードを潜在のテーマに持ちます。
目の前に目標があると情熱を持ってチャレンジします。スポーツなど身体を動かすこと、特に勝ち負けがはっきりすること、チームで取り組むことなどが得意。正義感の強い人情家。
人から慕われ応援されることで実力を発揮しますが、目標を失うと途端にエネルギーがダウンする傾向があります。</t>
    <rPh sb="1" eb="3">
      <t>コンナン</t>
    </rPh>
    <rPh sb="4" eb="5">
      <t>イド</t>
    </rPh>
    <rPh sb="7" eb="9">
      <t>ガンバ</t>
    </rPh>
    <rPh sb="18" eb="20">
      <t>センザイ</t>
    </rPh>
    <rPh sb="25" eb="26">
      <t>モ</t>
    </rPh>
    <rPh sb="31" eb="32">
      <t>メ</t>
    </rPh>
    <rPh sb="33" eb="34">
      <t>マエ</t>
    </rPh>
    <rPh sb="35" eb="37">
      <t>モクヒョウ</t>
    </rPh>
    <rPh sb="41" eb="43">
      <t>ジョウネツ</t>
    </rPh>
    <rPh sb="44" eb="45">
      <t>モ</t>
    </rPh>
    <rPh sb="62" eb="64">
      <t>カラダ</t>
    </rPh>
    <rPh sb="65" eb="66">
      <t>ウゴ</t>
    </rPh>
    <rPh sb="71" eb="72">
      <t>トク</t>
    </rPh>
    <rPh sb="73" eb="74">
      <t>カ</t>
    </rPh>
    <rPh sb="75" eb="76">
      <t>マ</t>
    </rPh>
    <rPh sb="91" eb="92">
      <t>ト</t>
    </rPh>
    <rPh sb="93" eb="94">
      <t>ク</t>
    </rPh>
    <rPh sb="100" eb="102">
      <t>トクイ</t>
    </rPh>
    <rPh sb="103" eb="106">
      <t>セイギカン</t>
    </rPh>
    <rPh sb="107" eb="108">
      <t>ツヨ</t>
    </rPh>
    <rPh sb="109" eb="111">
      <t>ニンジョウ</t>
    </rPh>
    <rPh sb="111" eb="112">
      <t>カ</t>
    </rPh>
    <rPh sb="114" eb="115">
      <t>ヒト</t>
    </rPh>
    <rPh sb="117" eb="118">
      <t>シタ</t>
    </rPh>
    <rPh sb="120" eb="122">
      <t>オウエン</t>
    </rPh>
    <rPh sb="128" eb="130">
      <t>ジツリョク</t>
    </rPh>
    <rPh sb="131" eb="133">
      <t>ハッキ</t>
    </rPh>
    <rPh sb="138" eb="140">
      <t>モクヒョウ</t>
    </rPh>
    <rPh sb="141" eb="142">
      <t>ウシナ</t>
    </rPh>
    <rPh sb="144" eb="146">
      <t>トタン</t>
    </rPh>
    <rPh sb="158" eb="160">
      <t>ケイコウ</t>
    </rPh>
    <phoneticPr fontId="1"/>
  </si>
  <si>
    <t>有名人では、梅澤富雄、星野仙一などが誕生数に「８」を持っています。
色々なことに興味を持ち、これと決めたら一直線に進んでいく資質。      　　　　　　　　　　　　　　　　　　　　　　　　　　　　　　　　　　　　　　　　　　                                                
理論より実際に体験することを選択し、人の為、グループのために身体を張って困難に立ち向かいます。　
何事も白黒はっきりさせたいタイプ。チャンスをものにする実現力があります。　　　　　　　　　　　　　　　　　　　　　　　　　　　　　　　　　　　　　　　　　　　　　　　　　　　　　　　　                                                                                                                              気さくで面倒見の良い性格は誰からも頼りにされ、頼りにされると期待以上に応えようとします。</t>
    <rPh sb="0" eb="3">
      <t>ユウメイジン</t>
    </rPh>
    <rPh sb="6" eb="8">
      <t>ウメザワ</t>
    </rPh>
    <rPh sb="8" eb="10">
      <t>トミオ</t>
    </rPh>
    <rPh sb="11" eb="13">
      <t>ホシノ</t>
    </rPh>
    <rPh sb="13" eb="15">
      <t>センイチ</t>
    </rPh>
    <rPh sb="18" eb="20">
      <t>タンジョウ</t>
    </rPh>
    <rPh sb="20" eb="21">
      <t>スウ</t>
    </rPh>
    <rPh sb="26" eb="27">
      <t>モ</t>
    </rPh>
    <rPh sb="62" eb="64">
      <t>シシツ</t>
    </rPh>
    <rPh sb="211" eb="213">
      <t>ナニゴト</t>
    </rPh>
    <rPh sb="214" eb="216">
      <t>シロクロ</t>
    </rPh>
    <rPh sb="238" eb="240">
      <t>ジツゲン</t>
    </rPh>
    <rPh sb="240" eb="241">
      <t>リョク</t>
    </rPh>
    <rPh sb="452" eb="453">
      <t>タヨ</t>
    </rPh>
    <rPh sb="459" eb="461">
      <t>キタイ</t>
    </rPh>
    <rPh sb="461" eb="463">
      <t>イジョウ</t>
    </rPh>
    <rPh sb="464" eb="465">
      <t>コタ</t>
    </rPh>
    <phoneticPr fontId="1"/>
  </si>
  <si>
    <t>持ち味の行動力が猪突猛進、攻撃的に走ると、身体を壊すなど自己破壊の傾向に向かいます。
休むことへの罪悪感から重責を自分に課してしまいます。</t>
    <rPh sb="21" eb="23">
      <t>カラダ</t>
    </rPh>
    <rPh sb="24" eb="25">
      <t>コワ</t>
    </rPh>
    <rPh sb="36" eb="37">
      <t>ム</t>
    </rPh>
    <phoneticPr fontId="1"/>
  </si>
  <si>
    <t>豊かさや権力に対する抵抗感、嫌悪感が生まれ、物資的・精神的な豊かさを遠退けます。</t>
  </si>
  <si>
    <t xml:space="preserve">元々、持って生まれた基本となる資質は、世の中の平和を理想とする博識な人。
才能に溢れ、何にでも器用にこなすことができます。 
知識欲に溢れた秀才タイプで、物静かで大人っぽい雰囲気のたたずまい。
物資的なものより、精神的な豊かさや心理を求めます。 　　　　　　　　　　　　　　　　　　　　　　　　　　　　　　　　　　　　　　　                                                         
 困った人、立場の弱い人を放っておけない性格。
また、自然や動植物にも慈しみの心を持ちます。　　　　　　　　　　　　　　　　　　　　　　　　　　　　　　　　　　　　　　　　　　　　　　　　　　　　　　　　　　　　　　　　　　　　　                                                                                           </t>
    <rPh sb="0" eb="2">
      <t>モトモト</t>
    </rPh>
    <rPh sb="3" eb="4">
      <t>モ</t>
    </rPh>
    <rPh sb="6" eb="7">
      <t>ウ</t>
    </rPh>
    <rPh sb="10" eb="12">
      <t>キホン</t>
    </rPh>
    <rPh sb="15" eb="17">
      <t>シシツ</t>
    </rPh>
    <phoneticPr fontId="1"/>
  </si>
  <si>
    <t>「ありのまま」「受容」が潜在のテーマ。勤勉で責任感が強い優等生タイプ。
真面目で穏やかな性格。人の為に自分を役立てたいと専門性を追求します。
統率力や冷静に物事を判断する目を持ち、職場やグループでは相談役、まとめ役として信頼を得ます。奉仕の心が強く、常に周りが平和であること、健康、環境、安全への関心を示します。</t>
    <rPh sb="8" eb="10">
      <t>ジュヨウ</t>
    </rPh>
    <rPh sb="12" eb="14">
      <t>センザイ</t>
    </rPh>
    <rPh sb="22" eb="25">
      <t>セキニンカン</t>
    </rPh>
    <rPh sb="26" eb="27">
      <t>ツヨ</t>
    </rPh>
    <rPh sb="144" eb="146">
      <t>アンゼン</t>
    </rPh>
    <phoneticPr fontId="1"/>
  </si>
  <si>
    <t>有名人では平原綾香、マザーテレサなどが誕生数に「９」を持っています。　
高い精神性と豊かな感性を合わせ持った人。
 繊細さと深い知恵、理解力を持ち、人々を癒し助ける能力に長けています。 
物事を客観的に捉えることができる思考型。
情け深く人道的。世の中の不条理や不道徳に関して敏感に反応し、我を顧みず調和・人類愛を守り抜こうとします。</t>
    <rPh sb="0" eb="3">
      <t>ユウメイジン</t>
    </rPh>
    <rPh sb="5" eb="7">
      <t>ヒラハラ</t>
    </rPh>
    <rPh sb="7" eb="9">
      <t>アヤカ</t>
    </rPh>
    <rPh sb="19" eb="21">
      <t>タンジョウ</t>
    </rPh>
    <rPh sb="21" eb="22">
      <t>スウ</t>
    </rPh>
    <rPh sb="27" eb="28">
      <t>モ</t>
    </rPh>
    <rPh sb="159" eb="160">
      <t>ヌ</t>
    </rPh>
    <phoneticPr fontId="1"/>
  </si>
  <si>
    <t>完璧主義・正義感が強まり、「白か黒かはっきりさせたい」「正したい」または、不条理なことに対して「ゆるせない」想いが強まり、自分は勿論のこと、相手にも完璧を求めます。</t>
    <rPh sb="61" eb="63">
      <t>ジブン</t>
    </rPh>
    <rPh sb="64" eb="66">
      <t>モチロン</t>
    </rPh>
    <phoneticPr fontId="1"/>
  </si>
  <si>
    <t>世界平和・人類愛に対して高い理想があり、そこに辿り着けないもどかしさから、
無意識のうちに自分を責める「罪悪感」を生みます。
感情の抑圧、疎外感、無価値観を味わいます。</t>
    <rPh sb="48" eb="49">
      <t>セ</t>
    </rPh>
    <rPh sb="73" eb="74">
      <t>ム</t>
    </rPh>
    <rPh sb="74" eb="77">
      <t>カチカン</t>
    </rPh>
    <phoneticPr fontId="1"/>
  </si>
  <si>
    <t>元々、持って生まれた基本となる資質は、見えない世界からのメッセンジャー。
神秘や精神世界に通じることで見えない世界と現実世界の橋渡しをします。 感性が豊か。
革新的に物事を創造するパワフルさを秘めています。　　　　　　　　　　　　　　　　　　　　　　　　　　　　　　　　　　　　　　　　　　　　　　　　　　　　　　　　　　　　　　　　　　　　　　　　　　　　　　　　　　　　　　　　　　　　　　　　　　　　　　　　　　　　　　　　　　　　　　　　　　　　　　　　　　　　　直観、審美眼に優れ、相手の心を察し、的確なメッセージを与えることができます。
また、表立って目立つことより、影でサポートする役に徹します。　　　　　　　　　　　　　　　　　　　　　　　　　　　　　　　</t>
    <rPh sb="0" eb="2">
      <t>モトモト</t>
    </rPh>
    <rPh sb="3" eb="4">
      <t>モ</t>
    </rPh>
    <rPh sb="6" eb="7">
      <t>ウ</t>
    </rPh>
    <rPh sb="10" eb="12">
      <t>キホン</t>
    </rPh>
    <rPh sb="15" eb="17">
      <t>シシツ</t>
    </rPh>
    <rPh sb="51" eb="52">
      <t>ミ</t>
    </rPh>
    <rPh sb="55" eb="57">
      <t>セカイ</t>
    </rPh>
    <rPh sb="58" eb="60">
      <t>ゲンジツ</t>
    </rPh>
    <rPh sb="60" eb="62">
      <t>セカイ</t>
    </rPh>
    <rPh sb="63" eb="65">
      <t>ハシワタ</t>
    </rPh>
    <rPh sb="72" eb="74">
      <t>カンセイ</t>
    </rPh>
    <rPh sb="75" eb="76">
      <t>ユタ</t>
    </rPh>
    <rPh sb="290" eb="291">
      <t>カゲ</t>
    </rPh>
    <phoneticPr fontId="1"/>
  </si>
  <si>
    <t>「１」の「自信」と「２」の「セルフイメージ＝過小評価」、２つのキーワードが潜在のテーマ。
どこか地に足が着かない不安定さから、自信を得るまでに時間を要する反面、常識には縛られない独自の感性と、大胆な発想力を持ちます。
感受性が強く、繊細。ひらめき、直観を優先させます。</t>
    <rPh sb="5" eb="7">
      <t>ジシン</t>
    </rPh>
    <rPh sb="22" eb="24">
      <t>カショウ</t>
    </rPh>
    <rPh sb="24" eb="26">
      <t>ヒョウカ</t>
    </rPh>
    <rPh sb="37" eb="39">
      <t>センザイ</t>
    </rPh>
    <rPh sb="48" eb="49">
      <t>チ</t>
    </rPh>
    <rPh sb="50" eb="51">
      <t>アシ</t>
    </rPh>
    <rPh sb="52" eb="53">
      <t>ツ</t>
    </rPh>
    <rPh sb="56" eb="59">
      <t>フアンテイ</t>
    </rPh>
    <rPh sb="63" eb="65">
      <t>ジシン</t>
    </rPh>
    <rPh sb="66" eb="67">
      <t>エ</t>
    </rPh>
    <rPh sb="71" eb="73">
      <t>ジカン</t>
    </rPh>
    <rPh sb="74" eb="75">
      <t>ヨウ</t>
    </rPh>
    <rPh sb="77" eb="79">
      <t>ハンメン</t>
    </rPh>
    <rPh sb="80" eb="82">
      <t>ジョウシキ</t>
    </rPh>
    <rPh sb="84" eb="85">
      <t>シバ</t>
    </rPh>
    <rPh sb="89" eb="91">
      <t>ドクジ</t>
    </rPh>
    <rPh sb="92" eb="94">
      <t>カンセイ</t>
    </rPh>
    <rPh sb="96" eb="98">
      <t>ダイタン</t>
    </rPh>
    <rPh sb="99" eb="101">
      <t>ハッソウ</t>
    </rPh>
    <rPh sb="101" eb="102">
      <t>リョク</t>
    </rPh>
    <rPh sb="103" eb="104">
      <t>モ</t>
    </rPh>
    <rPh sb="109" eb="112">
      <t>カンジュセイ</t>
    </rPh>
    <rPh sb="113" eb="114">
      <t>ツヨ</t>
    </rPh>
    <rPh sb="116" eb="118">
      <t>センサイ</t>
    </rPh>
    <rPh sb="124" eb="126">
      <t>チョッカン</t>
    </rPh>
    <rPh sb="127" eb="129">
      <t>ユウセン</t>
    </rPh>
    <phoneticPr fontId="1"/>
  </si>
  <si>
    <t>有名人では細木数子、中田英寿などが誕生数に「１１」を持っています。　　　　　　　　　　　　　　　　　　　　　　
洞察力、感性に優れ、独特の世界観を持ちます。　　　　　　　　　　　　　　　　　　　　　　　　　　　　　　　　　　　　　　　　　　　　　　　　　　　　　　
人の内側のエネルギーや場のエネルギーを敏感に感じ取る能力に長けています。　　　　　　　　　　　　　　　　　　　　
正義感、向上心に溢れ、物質的なものより精神的、神秘的なものに惹かれます。　　　　　　　　　　　　　　　　　　　　　
個性を活かした芸術的表現は、人々の心に響き精神性を目覚めさせ、革新的に物事を創造する力を発揮します。</t>
    <rPh sb="0" eb="3">
      <t>ユウメイジン</t>
    </rPh>
    <rPh sb="5" eb="7">
      <t>ホソギ</t>
    </rPh>
    <rPh sb="7" eb="9">
      <t>カズコ</t>
    </rPh>
    <rPh sb="10" eb="12">
      <t>ナカタ</t>
    </rPh>
    <rPh sb="12" eb="14">
      <t>ヒデトシ</t>
    </rPh>
    <rPh sb="17" eb="19">
      <t>タンジョウ</t>
    </rPh>
    <rPh sb="19" eb="20">
      <t>スウ</t>
    </rPh>
    <rPh sb="26" eb="27">
      <t>モ</t>
    </rPh>
    <rPh sb="292" eb="294">
      <t>ハッキ</t>
    </rPh>
    <phoneticPr fontId="1"/>
  </si>
  <si>
    <t>特に１１の中の１のエネルギーが強まり、「自分が率先して精神の向上を促さなければ」との思い込みから、人をコントロールしたり依存させる傾向になります。
精神世界に傾き過ぎることでアンバランスを体験します。</t>
    <rPh sb="33" eb="34">
      <t>ウナガ</t>
    </rPh>
    <rPh sb="81" eb="82">
      <t>ス</t>
    </rPh>
    <phoneticPr fontId="1"/>
  </si>
  <si>
    <t>特に１１の中の２のエネルギーが強まり、自分を過小評価し「現実世界に生きづらい」、
「認められない不安定さ」を体験します。</t>
    <rPh sb="28" eb="30">
      <t>ゲンジツ</t>
    </rPh>
    <phoneticPr fontId="1"/>
  </si>
  <si>
    <t>元々、持って生まれた基本となる資質は、カリスマ性のあるスケールの大きな常識人。
大勢の人の上に立って指揮する才能があり、発想や行動力が世界規模。
人望も厚く影響力があり、大舞台で活躍することでさらにその発信力が増します。
 大胆で現実的、型破りであり、真面目。人前に出て目立つことで本来のあなたが輝きます。　　　　　　　　　　　　　　　　　　　　　　　　　　　　　</t>
    <rPh sb="0" eb="2">
      <t>モトモト</t>
    </rPh>
    <rPh sb="3" eb="4">
      <t>モ</t>
    </rPh>
    <rPh sb="6" eb="7">
      <t>ウ</t>
    </rPh>
    <rPh sb="10" eb="12">
      <t>キホン</t>
    </rPh>
    <rPh sb="15" eb="17">
      <t>シシツ</t>
    </rPh>
    <rPh sb="60" eb="62">
      <t>ハッソウ</t>
    </rPh>
    <rPh sb="73" eb="75">
      <t>ジンボウ</t>
    </rPh>
    <phoneticPr fontId="1"/>
  </si>
  <si>
    <t>「２」の「セルフイメージ＝過小評価」と「４」の「過大なる期待を背負う」、２つのキーワードが潜在のテーマ。常識の世界では収まりきらない発想力でこれまでにない世界を構築します。           　　　　　　　　　　　　　　　　　　　　　　　　　　　　　　　　　　　　　　　　　　　                                                      真面目で現実的な思考を持つ反面、型破りで大胆な行動力を持ちます。自分の芯をしっかりと内に秘めている人。大舞台で自分を発揮することで、本来のあなたが輝きます。</t>
    <rPh sb="13" eb="18">
      <t>カショウヒョウカ）</t>
    </rPh>
    <rPh sb="24" eb="26">
      <t>カダイ</t>
    </rPh>
    <rPh sb="28" eb="30">
      <t>キタイ</t>
    </rPh>
    <rPh sb="31" eb="33">
      <t>セオ</t>
    </rPh>
    <rPh sb="45" eb="47">
      <t>センザイ</t>
    </rPh>
    <rPh sb="52" eb="54">
      <t>ジョウシキ</t>
    </rPh>
    <rPh sb="55" eb="57">
      <t>セカイ</t>
    </rPh>
    <rPh sb="59" eb="60">
      <t>オサ</t>
    </rPh>
    <rPh sb="66" eb="68">
      <t>ハッソウ</t>
    </rPh>
    <rPh sb="68" eb="69">
      <t>リョク</t>
    </rPh>
    <rPh sb="77" eb="79">
      <t>セカイ</t>
    </rPh>
    <rPh sb="80" eb="82">
      <t>コウチク</t>
    </rPh>
    <rPh sb="194" eb="197">
      <t>マジメ</t>
    </rPh>
    <rPh sb="202" eb="204">
      <t>シコウ</t>
    </rPh>
    <rPh sb="205" eb="206">
      <t>モ</t>
    </rPh>
    <rPh sb="207" eb="209">
      <t>ハンメン</t>
    </rPh>
    <rPh sb="214" eb="216">
      <t>ダイタン</t>
    </rPh>
    <rPh sb="217" eb="220">
      <t>コウドウリョク</t>
    </rPh>
    <rPh sb="221" eb="222">
      <t>モ</t>
    </rPh>
    <rPh sb="226" eb="228">
      <t>ジブン</t>
    </rPh>
    <rPh sb="229" eb="230">
      <t>シン</t>
    </rPh>
    <rPh sb="236" eb="237">
      <t>ウチ</t>
    </rPh>
    <rPh sb="238" eb="239">
      <t>ヒ</t>
    </rPh>
    <rPh sb="243" eb="244">
      <t>ヒト</t>
    </rPh>
    <rPh sb="245" eb="248">
      <t>オオブタイ</t>
    </rPh>
    <rPh sb="249" eb="251">
      <t>ジブン</t>
    </rPh>
    <rPh sb="252" eb="254">
      <t>ハッキ</t>
    </rPh>
    <phoneticPr fontId="1"/>
  </si>
  <si>
    <t>有名人では、デビィ夫人、坂本龍馬などが誕生数に「２２」を持っています。
大胆な行動力とズバ抜けた強運を持つ人。　逆境を乗り越え、自我を確立させていく様は、
強烈なオーラ、カリスマ性を発し人々の注目を浴びます。
向上思考、安定志向、物資欲が強く、目的の達成のための努力を惜しまずパワフルに行動し独自の個性で人を惹きつけます。</t>
    <rPh sb="0" eb="3">
      <t>ユウメイジン</t>
    </rPh>
    <rPh sb="9" eb="11">
      <t>フジン</t>
    </rPh>
    <rPh sb="12" eb="14">
      <t>サカモト</t>
    </rPh>
    <rPh sb="14" eb="16">
      <t>リョウマ</t>
    </rPh>
    <rPh sb="36" eb="38">
      <t>ダイタン</t>
    </rPh>
    <rPh sb="39" eb="42">
      <t>コウドウリョク</t>
    </rPh>
    <rPh sb="45" eb="46">
      <t>ヌ</t>
    </rPh>
    <rPh sb="48" eb="50">
      <t>キョウウン</t>
    </rPh>
    <rPh sb="51" eb="52">
      <t>モ</t>
    </rPh>
    <rPh sb="53" eb="54">
      <t>ヒト</t>
    </rPh>
    <rPh sb="56" eb="58">
      <t>ギャッキョウ</t>
    </rPh>
    <rPh sb="59" eb="60">
      <t>ノ</t>
    </rPh>
    <rPh sb="61" eb="62">
      <t>コ</t>
    </rPh>
    <rPh sb="64" eb="66">
      <t>ジガ</t>
    </rPh>
    <rPh sb="67" eb="69">
      <t>カクリツ</t>
    </rPh>
    <rPh sb="74" eb="75">
      <t>サマ</t>
    </rPh>
    <rPh sb="78" eb="80">
      <t>キョウレツ</t>
    </rPh>
    <rPh sb="89" eb="90">
      <t>セイ</t>
    </rPh>
    <rPh sb="91" eb="92">
      <t>ハッ</t>
    </rPh>
    <rPh sb="93" eb="95">
      <t>ヒトビト</t>
    </rPh>
    <rPh sb="96" eb="98">
      <t>チュウモク</t>
    </rPh>
    <rPh sb="99" eb="100">
      <t>ア</t>
    </rPh>
    <rPh sb="105" eb="107">
      <t>コウジョウ</t>
    </rPh>
    <rPh sb="107" eb="109">
      <t>シコウ</t>
    </rPh>
    <rPh sb="110" eb="112">
      <t>アンテイ</t>
    </rPh>
    <rPh sb="112" eb="114">
      <t>シコウ</t>
    </rPh>
    <rPh sb="115" eb="117">
      <t>ブッシ</t>
    </rPh>
    <rPh sb="117" eb="118">
      <t>ヨク</t>
    </rPh>
    <rPh sb="119" eb="120">
      <t>ツヨ</t>
    </rPh>
    <rPh sb="122" eb="124">
      <t>モクテキ</t>
    </rPh>
    <rPh sb="125" eb="127">
      <t>タッセイ</t>
    </rPh>
    <rPh sb="131" eb="133">
      <t>ドリョク</t>
    </rPh>
    <rPh sb="134" eb="135">
      <t>オ</t>
    </rPh>
    <rPh sb="143" eb="145">
      <t>コウドウ</t>
    </rPh>
    <rPh sb="146" eb="148">
      <t>ドクジ</t>
    </rPh>
    <rPh sb="149" eb="151">
      <t>コセイ</t>
    </rPh>
    <rPh sb="152" eb="153">
      <t>ヒト</t>
    </rPh>
    <rPh sb="154" eb="155">
      <t>ヒ</t>
    </rPh>
    <phoneticPr fontId="1"/>
  </si>
  <si>
    <t>新たな現実世界を構築する指導力・強固な意志力、自信溢れる言動、カリスマ性が極端に称賛される、または、遠い存在に感じられる、嫉妬されるなど、
いずれにしても注目を浴びます。</t>
    <rPh sb="61" eb="63">
      <t>シット</t>
    </rPh>
    <rPh sb="77" eb="79">
      <t>チュウモク</t>
    </rPh>
    <rPh sb="80" eb="81">
      <t>ア</t>
    </rPh>
    <phoneticPr fontId="1"/>
  </si>
  <si>
    <t>本来の自分らしさが表に出ることをあきらめ、自分を目立たないようにする。
自分の発信力、影響力に抵抗を感じ、大勢の中に身を置くことから距離を置くようになります。</t>
    <phoneticPr fontId="1"/>
  </si>
  <si>
    <t>自ら創造と破壊を繰り返しながら、人々を分離感から「統合」へと導く「普遍的な愛」がテーマの平和主義者。
人や動植物などに対して、思いやりや情が深く、穏やかでマイペースな性格。　　　　　　　　　　　　　　　　　　　　　　　　　　　　　　　　　　　　　　　　　　　　　　　　　　　　　　　　　　　　　　　　　　                                                                                  　３の要素の子供っぽい無邪気な感性、表現力と６の母性、養育、美の資質を含み、常にグループ、社会全体に目を向け、調和を整えることに意識を向けます。</t>
    <rPh sb="51" eb="52">
      <t>ヒト</t>
    </rPh>
    <rPh sb="53" eb="56">
      <t>ドウショクブツ</t>
    </rPh>
    <rPh sb="59" eb="60">
      <t>タイ</t>
    </rPh>
    <rPh sb="63" eb="64">
      <t>オモ</t>
    </rPh>
    <rPh sb="68" eb="69">
      <t>ジョウ</t>
    </rPh>
    <rPh sb="70" eb="71">
      <t>フカ</t>
    </rPh>
    <rPh sb="73" eb="74">
      <t>オダ</t>
    </rPh>
    <rPh sb="83" eb="85">
      <t>セイカク</t>
    </rPh>
    <phoneticPr fontId="1"/>
  </si>
  <si>
    <t>有名人では、羽生結弦、福山雅治などが誕生数に「３３」を持っています。
自ら創造と破壊を繰り返しながら、人々を分離感から「統合」へと導く「普遍的な愛」がテーマの平和主義者。独創的な世界観を持つ愛情深い人です。３の要素の子供っぽい無邪気な感性、表現力と６の母性、養育、美の資質を含み、常にグループ、社会全体に目を向け調和を整えることに意識を向けます。</t>
    <rPh sb="0" eb="3">
      <t>ユウメイジン</t>
    </rPh>
    <rPh sb="85" eb="88">
      <t>ドクソウテキ</t>
    </rPh>
    <rPh sb="89" eb="92">
      <t>セカイカン</t>
    </rPh>
    <rPh sb="93" eb="94">
      <t>モ</t>
    </rPh>
    <rPh sb="95" eb="97">
      <t>アイジョウ</t>
    </rPh>
    <rPh sb="97" eb="98">
      <t>フカ</t>
    </rPh>
    <rPh sb="99" eb="100">
      <t>ヒト</t>
    </rPh>
    <phoneticPr fontId="1"/>
  </si>
  <si>
    <t>テーマの「無償の愛」が親切を大きく上回り、おせっかい、独占欲に働きます。  
また、相手にもあたり前に「愛情」「やさしさ」を求め、他人より「愛されていること」を確認し優位に立ちたい傾向に傾きます。</t>
    <phoneticPr fontId="1"/>
  </si>
  <si>
    <t>「自分は愛されていない」「愛を与えられていない」との思い込み、不安がどんどん加速し自己犠牲の現象でそれを味わいます。
失望感を味わいながら、安心できる居場所を精神世界に求め続けます。</t>
    <rPh sb="13" eb="14">
      <t>アイ</t>
    </rPh>
    <rPh sb="15" eb="16">
      <t>アタ</t>
    </rPh>
    <rPh sb="79" eb="81">
      <t>セイシン</t>
    </rPh>
    <rPh sb="81" eb="83">
      <t>セカイ</t>
    </rPh>
    <phoneticPr fontId="1"/>
  </si>
  <si>
    <t>宿命数　体験ｽﾄｰﾘｰ</t>
    <rPh sb="0" eb="2">
      <t>シュクメイ</t>
    </rPh>
    <rPh sb="2" eb="3">
      <t>スウ</t>
    </rPh>
    <rPh sb="4" eb="6">
      <t>タイケン</t>
    </rPh>
    <phoneticPr fontId="1"/>
  </si>
  <si>
    <t>潜在数　　体験ｽﾄｰﾘｰ</t>
    <rPh sb="0" eb="2">
      <t>センザイ</t>
    </rPh>
    <rPh sb="2" eb="3">
      <t>スウ</t>
    </rPh>
    <rPh sb="5" eb="7">
      <t>タイケン</t>
    </rPh>
    <phoneticPr fontId="1"/>
  </si>
  <si>
    <t>誕生数　体験ストーリー</t>
    <rPh sb="0" eb="2">
      <t>タンジョウ</t>
    </rPh>
    <rPh sb="2" eb="3">
      <t>スウ</t>
    </rPh>
    <rPh sb="4" eb="6">
      <t>タイケン</t>
    </rPh>
    <phoneticPr fontId="1"/>
  </si>
  <si>
    <t>「決断が早い」「後悔するより行動」
あなたのその決断力はどんな時に役立ちますか？　　　　　　　　　　　　　　　</t>
    <rPh sb="1" eb="3">
      <t>ケツダン</t>
    </rPh>
    <rPh sb="4" eb="5">
      <t>ハヤ</t>
    </rPh>
    <rPh sb="8" eb="10">
      <t>コウカイ</t>
    </rPh>
    <rPh sb="14" eb="16">
      <t>コウドウ</t>
    </rPh>
    <rPh sb="24" eb="27">
      <t>ケツダンリョク</t>
    </rPh>
    <rPh sb="31" eb="32">
      <t>トキ</t>
    </rPh>
    <rPh sb="33" eb="35">
      <t>ヤクダ</t>
    </rPh>
    <phoneticPr fontId="1"/>
  </si>
  <si>
    <t>「誰よりも先に新しい道を切り開く開拓者ストーリー」　</t>
    <rPh sb="1" eb="2">
      <t>ダレ</t>
    </rPh>
    <rPh sb="5" eb="6">
      <t>サキ</t>
    </rPh>
    <rPh sb="7" eb="8">
      <t>アタラ</t>
    </rPh>
    <rPh sb="10" eb="11">
      <t>ミチ</t>
    </rPh>
    <rPh sb="12" eb="13">
      <t>キ</t>
    </rPh>
    <rPh sb="14" eb="15">
      <t>ヒラ</t>
    </rPh>
    <rPh sb="16" eb="18">
      <t>カイタク</t>
    </rPh>
    <rPh sb="18" eb="19">
      <t>シャ</t>
    </rPh>
    <phoneticPr fontId="1"/>
  </si>
  <si>
    <t>「１番にこだわる」　
「やるからには常にベストを尽くしたい」
あなたの原動力となっていたものは何ですか？　　　　　　　　　　　　　　　</t>
    <rPh sb="35" eb="38">
      <t>ゲンドウリョク</t>
    </rPh>
    <rPh sb="47" eb="48">
      <t>ナン</t>
    </rPh>
    <phoneticPr fontId="1"/>
  </si>
  <si>
    <t>「頑張っている姿を見せることで親が喜ぶストーリー」　</t>
    <phoneticPr fontId="1"/>
  </si>
  <si>
    <t>「つい目立ってしまう、先頭に立ち多くのことを引き受けてしまう」　
あなたが自分らしさを発揮できる場所はどこですか？　　　　　　　　　　　　　　　　　　　　　　　　　　　　　　　　　　　　　　　　　　　　　　　　　　　　</t>
    <rPh sb="3" eb="5">
      <t>メダ</t>
    </rPh>
    <rPh sb="11" eb="13">
      <t>セントウ</t>
    </rPh>
    <rPh sb="14" eb="15">
      <t>タ</t>
    </rPh>
    <rPh sb="16" eb="17">
      <t>オオ</t>
    </rPh>
    <rPh sb="22" eb="23">
      <t>ヒ</t>
    </rPh>
    <rPh sb="24" eb="25">
      <t>ウ</t>
    </rPh>
    <rPh sb="37" eb="39">
      <t>ジブン</t>
    </rPh>
    <rPh sb="43" eb="45">
      <t>ハッキ</t>
    </rPh>
    <rPh sb="48" eb="50">
      <t>バショ</t>
    </rPh>
    <phoneticPr fontId="1"/>
  </si>
  <si>
    <t>「目標に向かって突き進むチャレンジストーリー」</t>
    <rPh sb="1" eb="3">
      <t>モクヒョウ</t>
    </rPh>
    <rPh sb="4" eb="5">
      <t>ム</t>
    </rPh>
    <rPh sb="8" eb="9">
      <t>ツ</t>
    </rPh>
    <rPh sb="10" eb="11">
      <t>スス</t>
    </rPh>
    <phoneticPr fontId="1"/>
  </si>
  <si>
    <t>「繫がりを大切にする」　
「人の気持ちを察する、サポートすることが得意」
つい自分より相手を優先させてしまうことはありませんか？</t>
    <rPh sb="1" eb="2">
      <t>ツナ</t>
    </rPh>
    <rPh sb="5" eb="7">
      <t>タイセツ</t>
    </rPh>
    <rPh sb="14" eb="15">
      <t>ヒト</t>
    </rPh>
    <rPh sb="16" eb="18">
      <t>キモ</t>
    </rPh>
    <rPh sb="20" eb="21">
      <t>サッ</t>
    </rPh>
    <rPh sb="33" eb="35">
      <t>トクイ</t>
    </rPh>
    <rPh sb="39" eb="41">
      <t>ジブン</t>
    </rPh>
    <rPh sb="43" eb="45">
      <t>アイテ</t>
    </rPh>
    <rPh sb="46" eb="48">
      <t>ユウセン</t>
    </rPh>
    <phoneticPr fontId="1"/>
  </si>
  <si>
    <t>「相手の気持ちを察し調和を保とうと努めるストーリー」</t>
    <rPh sb="1" eb="3">
      <t>アイテ</t>
    </rPh>
    <rPh sb="4" eb="6">
      <t>キモ</t>
    </rPh>
    <rPh sb="8" eb="9">
      <t>サッ</t>
    </rPh>
    <rPh sb="10" eb="12">
      <t>チョウワ</t>
    </rPh>
    <rPh sb="13" eb="14">
      <t>タモ</t>
    </rPh>
    <rPh sb="17" eb="18">
      <t>ツト</t>
    </rPh>
    <phoneticPr fontId="1"/>
  </si>
  <si>
    <t>「繫がりを求めつつも遠慮してしまう、さみしさを感じてしまう」
あなたが繋がっていたい人は誰ですか？</t>
    <rPh sb="1" eb="2">
      <t>ツナ</t>
    </rPh>
    <rPh sb="5" eb="6">
      <t>モト</t>
    </rPh>
    <rPh sb="10" eb="12">
      <t>エンリョ</t>
    </rPh>
    <rPh sb="35" eb="36">
      <t>ツナ</t>
    </rPh>
    <rPh sb="42" eb="43">
      <t>ヒト</t>
    </rPh>
    <rPh sb="44" eb="45">
      <t>ダレ</t>
    </rPh>
    <phoneticPr fontId="1"/>
  </si>
  <si>
    <t>「自分を抑え、本来の自分を後回しにしてしまう自己犠牲ストーリー」</t>
    <rPh sb="1" eb="3">
      <t>ジブン</t>
    </rPh>
    <rPh sb="4" eb="5">
      <t>オサ</t>
    </rPh>
    <rPh sb="7" eb="9">
      <t>ホンライ</t>
    </rPh>
    <rPh sb="10" eb="12">
      <t>ジブン</t>
    </rPh>
    <rPh sb="13" eb="15">
      <t>アトマワ</t>
    </rPh>
    <rPh sb="22" eb="24">
      <t>ジコ</t>
    </rPh>
    <rPh sb="24" eb="26">
      <t>ギセイ</t>
    </rPh>
    <phoneticPr fontId="1"/>
  </si>
  <si>
    <t>「自分をいつも後回しにする」「自ら二番手を選択してしまう」
そうまでしてあなたが優先させたいものは何ですか？</t>
    <rPh sb="15" eb="16">
      <t>ミズカ</t>
    </rPh>
    <rPh sb="17" eb="18">
      <t>２</t>
    </rPh>
    <rPh sb="18" eb="20">
      <t>バンテ</t>
    </rPh>
    <rPh sb="21" eb="23">
      <t>センタク</t>
    </rPh>
    <rPh sb="40" eb="42">
      <t>ユウセン</t>
    </rPh>
    <rPh sb="49" eb="50">
      <t>ナニ</t>
    </rPh>
    <phoneticPr fontId="1"/>
  </si>
  <si>
    <t>「人を支えることが歓びと感じるストーリー」</t>
    <rPh sb="1" eb="2">
      <t>ヒト</t>
    </rPh>
    <rPh sb="3" eb="4">
      <t>ササ</t>
    </rPh>
    <rPh sb="9" eb="10">
      <t>ヨロコ</t>
    </rPh>
    <rPh sb="12" eb="13">
      <t>カン</t>
    </rPh>
    <phoneticPr fontId="1"/>
  </si>
  <si>
    <t>「人生を楽しむ」「言葉による表現」「創造性」　
あなたの持ち前の明るさや感性は人に何を与えることができますか？</t>
    <rPh sb="1" eb="3">
      <t>ジンセイ</t>
    </rPh>
    <rPh sb="4" eb="5">
      <t>タノ</t>
    </rPh>
    <rPh sb="9" eb="11">
      <t>コトバ</t>
    </rPh>
    <rPh sb="14" eb="16">
      <t>ヒョウゲン</t>
    </rPh>
    <rPh sb="18" eb="21">
      <t>ソウゾウセイ</t>
    </rPh>
    <rPh sb="28" eb="29">
      <t>モ</t>
    </rPh>
    <rPh sb="30" eb="31">
      <t>マエ</t>
    </rPh>
    <rPh sb="32" eb="33">
      <t>アカ</t>
    </rPh>
    <rPh sb="36" eb="38">
      <t>カンセイ</t>
    </rPh>
    <rPh sb="39" eb="40">
      <t>ヒト</t>
    </rPh>
    <rPh sb="41" eb="42">
      <t>ナニ</t>
    </rPh>
    <rPh sb="43" eb="44">
      <t>アタ</t>
    </rPh>
    <phoneticPr fontId="1"/>
  </si>
  <si>
    <t>「人を和ませ笑いの場を自ら創り出すエンターティナ－ストーリー」</t>
    <rPh sb="1" eb="2">
      <t>ヒト</t>
    </rPh>
    <rPh sb="3" eb="4">
      <t>ナゴ</t>
    </rPh>
    <rPh sb="6" eb="7">
      <t>ワラ</t>
    </rPh>
    <rPh sb="9" eb="10">
      <t>バ</t>
    </rPh>
    <rPh sb="11" eb="12">
      <t>ミズカ</t>
    </rPh>
    <rPh sb="13" eb="14">
      <t>ツク</t>
    </rPh>
    <rPh sb="15" eb="16">
      <t>ダ</t>
    </rPh>
    <phoneticPr fontId="1"/>
  </si>
  <si>
    <t>「インナーチャイルド」
「幼少期の両親との関わりが満たされず、つい子供っぽく振る舞ってしまう」
あなたのその想いを表現したことはありますか？</t>
    <rPh sb="13" eb="16">
      <t>ヨウショウキ</t>
    </rPh>
    <rPh sb="17" eb="19">
      <t>リョウシン</t>
    </rPh>
    <rPh sb="21" eb="22">
      <t>カカ</t>
    </rPh>
    <rPh sb="25" eb="26">
      <t>ミ</t>
    </rPh>
    <rPh sb="33" eb="35">
      <t>コドモ</t>
    </rPh>
    <rPh sb="38" eb="39">
      <t>フ</t>
    </rPh>
    <rPh sb="40" eb="41">
      <t>マ</t>
    </rPh>
    <rPh sb="54" eb="55">
      <t>オモ</t>
    </rPh>
    <rPh sb="57" eb="59">
      <t>ヒョウゲン</t>
    </rPh>
    <phoneticPr fontId="1"/>
  </si>
  <si>
    <t>「いつまでも子供でいたいインナーチャイルドストーリー」</t>
    <rPh sb="6" eb="8">
      <t>コドモ</t>
    </rPh>
    <phoneticPr fontId="1"/>
  </si>
  <si>
    <t>「楽しむこと、自分を表現することに抵抗を感じる」
「自分は簡単に楽しんではいけないの思い込み」
あなたが楽しいと嬉しい人は誰ですか？</t>
    <rPh sb="1" eb="2">
      <t>タノ</t>
    </rPh>
    <rPh sb="7" eb="9">
      <t>ジブン</t>
    </rPh>
    <rPh sb="10" eb="12">
      <t>ヒョウゲン</t>
    </rPh>
    <rPh sb="17" eb="19">
      <t>テイコウ</t>
    </rPh>
    <rPh sb="20" eb="21">
      <t>カン</t>
    </rPh>
    <rPh sb="26" eb="28">
      <t>ジブン</t>
    </rPh>
    <rPh sb="29" eb="31">
      <t>カンタン</t>
    </rPh>
    <rPh sb="32" eb="33">
      <t>タノ</t>
    </rPh>
    <rPh sb="42" eb="43">
      <t>オモ</t>
    </rPh>
    <rPh sb="44" eb="45">
      <t>コ</t>
    </rPh>
    <rPh sb="52" eb="53">
      <t>タノ</t>
    </rPh>
    <rPh sb="56" eb="57">
      <t>ウレ</t>
    </rPh>
    <rPh sb="59" eb="60">
      <t>ヒト</t>
    </rPh>
    <rPh sb="61" eb="62">
      <t>ダレ</t>
    </rPh>
    <phoneticPr fontId="1"/>
  </si>
  <si>
    <t>「感情表現を楽しみ、笑い、喜びを生み出すクリエーターストーリー」</t>
    <rPh sb="1" eb="3">
      <t>カンジョウ</t>
    </rPh>
    <rPh sb="3" eb="5">
      <t>ヒョウゲン</t>
    </rPh>
    <rPh sb="6" eb="7">
      <t>タノ</t>
    </rPh>
    <rPh sb="10" eb="11">
      <t>ワラ</t>
    </rPh>
    <rPh sb="13" eb="14">
      <t>ヨロコ</t>
    </rPh>
    <rPh sb="16" eb="17">
      <t>ウ</t>
    </rPh>
    <rPh sb="18" eb="19">
      <t>ダ</t>
    </rPh>
    <phoneticPr fontId="1"/>
  </si>
  <si>
    <t>「コツコツ土台を積み上げる」
「あたり前に努力ができる」
　あなたが慎重に積み上げてきたもの、大切にしたいものは何ですか？</t>
    <rPh sb="5" eb="7">
      <t>ドダイ</t>
    </rPh>
    <rPh sb="8" eb="9">
      <t>ツ</t>
    </rPh>
    <rPh sb="10" eb="11">
      <t>ア</t>
    </rPh>
    <rPh sb="19" eb="20">
      <t>マエ</t>
    </rPh>
    <rPh sb="21" eb="23">
      <t>ドリョク</t>
    </rPh>
    <rPh sb="34" eb="36">
      <t>シンチョウ</t>
    </rPh>
    <rPh sb="37" eb="38">
      <t>ツ</t>
    </rPh>
    <rPh sb="39" eb="40">
      <t>ア</t>
    </rPh>
    <rPh sb="47" eb="49">
      <t>タイセツ</t>
    </rPh>
    <rPh sb="56" eb="57">
      <t>ナン</t>
    </rPh>
    <phoneticPr fontId="1"/>
  </si>
  <si>
    <t>「家族や身近な人間関係を丁寧に積み上げるストーリー」</t>
    <rPh sb="1" eb="3">
      <t>カゾク</t>
    </rPh>
    <rPh sb="4" eb="6">
      <t>ミジカ</t>
    </rPh>
    <rPh sb="7" eb="9">
      <t>ニンゲン</t>
    </rPh>
    <rPh sb="9" eb="11">
      <t>カンケイ</t>
    </rPh>
    <rPh sb="12" eb="14">
      <t>テイネイ</t>
    </rPh>
    <rPh sb="15" eb="16">
      <t>ツ</t>
    </rPh>
    <rPh sb="17" eb="18">
      <t>ア</t>
    </rPh>
    <phoneticPr fontId="1"/>
  </si>
  <si>
    <t>「両親からの過大な期待を背負う」
「真面目でいい子でいなければ、はみ出してはいけないとの思い込み」
あなたが子供の頃、本当はしてみたかったことは何ですか？</t>
    <rPh sb="1" eb="2">
      <t>リョウ</t>
    </rPh>
    <rPh sb="2" eb="3">
      <t>オヤ</t>
    </rPh>
    <rPh sb="6" eb="8">
      <t>カダイ</t>
    </rPh>
    <rPh sb="9" eb="11">
      <t>キタイ</t>
    </rPh>
    <rPh sb="12" eb="14">
      <t>セオ</t>
    </rPh>
    <rPh sb="18" eb="21">
      <t>マジメ</t>
    </rPh>
    <rPh sb="24" eb="25">
      <t>コ</t>
    </rPh>
    <rPh sb="34" eb="35">
      <t>ダ</t>
    </rPh>
    <rPh sb="54" eb="56">
      <t>コドモ</t>
    </rPh>
    <rPh sb="57" eb="58">
      <t>コロ</t>
    </rPh>
    <rPh sb="59" eb="61">
      <t>ホントウ</t>
    </rPh>
    <rPh sb="72" eb="73">
      <t>ナン</t>
    </rPh>
    <phoneticPr fontId="1"/>
  </si>
  <si>
    <t>「両親やまわりに心配や迷惑をかけたくない我慢ストーリー」</t>
    <rPh sb="1" eb="2">
      <t>リョウ</t>
    </rPh>
    <rPh sb="2" eb="3">
      <t>オヤ</t>
    </rPh>
    <rPh sb="20" eb="22">
      <t>ガマン</t>
    </rPh>
    <phoneticPr fontId="1"/>
  </si>
  <si>
    <t>「～ねばならない」「ちゃんとしなくてはならない」
現在あなたを縛りつけてしまっているものは何ですか？</t>
    <rPh sb="25" eb="27">
      <t>ゲンザイ</t>
    </rPh>
    <rPh sb="31" eb="32">
      <t>シバ</t>
    </rPh>
    <rPh sb="45" eb="46">
      <t>ナン</t>
    </rPh>
    <phoneticPr fontId="1"/>
  </si>
  <si>
    <t>「頑ななマイルールをそろそろ手放すストーリー」</t>
    <rPh sb="1" eb="2">
      <t>カタク</t>
    </rPh>
    <rPh sb="14" eb="16">
      <t>テバナ</t>
    </rPh>
    <phoneticPr fontId="1"/>
  </si>
  <si>
    <t>「誰とでもすぐに打ち解け合える」
「物怖じせずにどこへでも行くことができる」
あなたが、心から仲良くしたい人は誰ですか？</t>
    <rPh sb="1" eb="2">
      <t>ダレ</t>
    </rPh>
    <rPh sb="8" eb="9">
      <t>ウ</t>
    </rPh>
    <rPh sb="10" eb="11">
      <t>ト</t>
    </rPh>
    <rPh sb="12" eb="13">
      <t>ア</t>
    </rPh>
    <rPh sb="18" eb="20">
      <t>モノオ</t>
    </rPh>
    <rPh sb="29" eb="30">
      <t>イ</t>
    </rPh>
    <rPh sb="44" eb="45">
      <t>ココロ</t>
    </rPh>
    <rPh sb="47" eb="49">
      <t>ナカヨ</t>
    </rPh>
    <rPh sb="53" eb="54">
      <t>ヒト</t>
    </rPh>
    <rPh sb="55" eb="56">
      <t>ダレ</t>
    </rPh>
    <phoneticPr fontId="1"/>
  </si>
  <si>
    <t>「好奇心旺盛、常に新しい自分でいたいストーリー」</t>
    <rPh sb="1" eb="4">
      <t>コウキシン</t>
    </rPh>
    <rPh sb="4" eb="6">
      <t>オウセイ</t>
    </rPh>
    <rPh sb="7" eb="8">
      <t>ツネ</t>
    </rPh>
    <rPh sb="9" eb="10">
      <t>アタラ</t>
    </rPh>
    <rPh sb="12" eb="14">
      <t>ジブン</t>
    </rPh>
    <phoneticPr fontId="1"/>
  </si>
  <si>
    <t>「自由とは遠くにあるもの」
「今、この場所には自由などないとの思い込み」
あなたの求める自由はどこに行けばありますか？</t>
    <rPh sb="41" eb="42">
      <t>モト</t>
    </rPh>
    <rPh sb="44" eb="46">
      <t>ジユウ</t>
    </rPh>
    <rPh sb="50" eb="51">
      <t>イ</t>
    </rPh>
    <phoneticPr fontId="1"/>
  </si>
  <si>
    <t>「本当はこんなはずじゃない。もっと他の世界があるはずストーリー」</t>
    <phoneticPr fontId="1"/>
  </si>
  <si>
    <t>「変化したい、成長したい」
そんなあなたを突き動かすものは何ですか？</t>
    <rPh sb="1" eb="3">
      <t>ヘンカ</t>
    </rPh>
    <rPh sb="7" eb="9">
      <t>セイチョウ</t>
    </rPh>
    <rPh sb="21" eb="22">
      <t>ツ</t>
    </rPh>
    <rPh sb="23" eb="24">
      <t>ウゴ</t>
    </rPh>
    <rPh sb="29" eb="30">
      <t>ナン</t>
    </rPh>
    <phoneticPr fontId="1"/>
  </si>
  <si>
    <t>「自分の感覚、感情を大勢の人に表現するチャレンジストーリー」</t>
    <rPh sb="1" eb="3">
      <t>ジブン</t>
    </rPh>
    <rPh sb="4" eb="6">
      <t>カンカク</t>
    </rPh>
    <rPh sb="7" eb="9">
      <t>カンジョウ</t>
    </rPh>
    <rPh sb="10" eb="12">
      <t>オオゼイ</t>
    </rPh>
    <rPh sb="13" eb="14">
      <t>ヒト</t>
    </rPh>
    <rPh sb="15" eb="17">
      <t>ヒョウゲン</t>
    </rPh>
    <phoneticPr fontId="1"/>
  </si>
  <si>
    <t>「人の心を癒すことができる」
　「努力しなくても人を癒せる雰囲気、力を持っている」
あなたは自分自身をどのように癒していますか？</t>
    <rPh sb="1" eb="2">
      <t>ヒト</t>
    </rPh>
    <rPh sb="3" eb="4">
      <t>ココロ</t>
    </rPh>
    <rPh sb="5" eb="6">
      <t>イヤ</t>
    </rPh>
    <rPh sb="17" eb="19">
      <t>ドリョク</t>
    </rPh>
    <rPh sb="24" eb="25">
      <t>ヒト</t>
    </rPh>
    <rPh sb="26" eb="27">
      <t>イヤ</t>
    </rPh>
    <rPh sb="29" eb="32">
      <t>フンイキ</t>
    </rPh>
    <rPh sb="33" eb="34">
      <t>チカラ</t>
    </rPh>
    <rPh sb="35" eb="36">
      <t>モ</t>
    </rPh>
    <rPh sb="46" eb="48">
      <t>ジブン</t>
    </rPh>
    <rPh sb="48" eb="50">
      <t>ジシン</t>
    </rPh>
    <rPh sb="56" eb="57">
      <t>イヤ</t>
    </rPh>
    <phoneticPr fontId="1"/>
  </si>
  <si>
    <t>「母性、女性性、愛情を惜しみなく与えるストーリー」</t>
    <rPh sb="1" eb="3">
      <t>ボセイ</t>
    </rPh>
    <rPh sb="4" eb="7">
      <t>ジョセイセイ</t>
    </rPh>
    <rPh sb="8" eb="10">
      <t>アイジョウ</t>
    </rPh>
    <rPh sb="11" eb="12">
      <t>オ</t>
    </rPh>
    <rPh sb="16" eb="17">
      <t>アタ</t>
    </rPh>
    <phoneticPr fontId="1"/>
  </si>
  <si>
    <t>「常に愛されたい、愛されるにふさわしい自分でいたい」
「幼少期、成長過程での不調和な体験」
あなたの本来の役割はどんな役割なのですか？</t>
    <rPh sb="1" eb="2">
      <t>ツネ</t>
    </rPh>
    <rPh sb="3" eb="4">
      <t>アイ</t>
    </rPh>
    <rPh sb="9" eb="10">
      <t>アイ</t>
    </rPh>
    <rPh sb="19" eb="21">
      <t>ジブン</t>
    </rPh>
    <rPh sb="28" eb="31">
      <t>ヨウショウキ</t>
    </rPh>
    <rPh sb="32" eb="34">
      <t>セイチョウ</t>
    </rPh>
    <rPh sb="34" eb="36">
      <t>カテイ</t>
    </rPh>
    <rPh sb="38" eb="41">
      <t>フチョウワ</t>
    </rPh>
    <rPh sb="42" eb="44">
      <t>タイケン</t>
    </rPh>
    <rPh sb="50" eb="52">
      <t>ホンライ</t>
    </rPh>
    <rPh sb="53" eb="55">
      <t>ヤクワリ</t>
    </rPh>
    <rPh sb="59" eb="61">
      <t>ヤクワリ</t>
    </rPh>
    <phoneticPr fontId="1"/>
  </si>
  <si>
    <t>「愛、調和に傷つく悲劇のヒロインストーリー」</t>
    <rPh sb="3" eb="5">
      <t>チョウワ</t>
    </rPh>
    <phoneticPr fontId="1"/>
  </si>
  <si>
    <t>「愛情をもって人の心を癒し、調和させることができる」
時に親切心が自己犠牲に傾いてしまうことも。
自分を癒せる時間とはどんな時間ですか？</t>
    <rPh sb="1" eb="3">
      <t>アイジョウ</t>
    </rPh>
    <rPh sb="7" eb="8">
      <t>ヒト</t>
    </rPh>
    <rPh sb="9" eb="10">
      <t>ココロ</t>
    </rPh>
    <rPh sb="11" eb="12">
      <t>イヤ</t>
    </rPh>
    <rPh sb="14" eb="16">
      <t>チョウワ</t>
    </rPh>
    <rPh sb="27" eb="28">
      <t>トキ</t>
    </rPh>
    <rPh sb="29" eb="31">
      <t>シンセツ</t>
    </rPh>
    <rPh sb="31" eb="32">
      <t>シン</t>
    </rPh>
    <rPh sb="33" eb="35">
      <t>ジコ</t>
    </rPh>
    <rPh sb="35" eb="37">
      <t>ギセイ</t>
    </rPh>
    <rPh sb="38" eb="39">
      <t>カタム</t>
    </rPh>
    <rPh sb="49" eb="51">
      <t>ジブン</t>
    </rPh>
    <rPh sb="52" eb="53">
      <t>イヤ</t>
    </rPh>
    <rPh sb="55" eb="57">
      <t>ジカン</t>
    </rPh>
    <rPh sb="62" eb="64">
      <t>ジカン</t>
    </rPh>
    <phoneticPr fontId="1"/>
  </si>
  <si>
    <t>「人との関わり、調和を大切にするストーリー」</t>
    <rPh sb="1" eb="2">
      <t>ヒト</t>
    </rPh>
    <rPh sb="4" eb="5">
      <t>カカ</t>
    </rPh>
    <rPh sb="8" eb="10">
      <t>チョウワ</t>
    </rPh>
    <rPh sb="11" eb="13">
      <t>タイセツ</t>
    </rPh>
    <phoneticPr fontId="1"/>
  </si>
  <si>
    <t>「自分の価値基準をすでに持っている」　
キーワードは「本質」「直観」「宇宙、植物、自然」
あなたの心が求める世界はどんな世界ですか？</t>
    <rPh sb="1" eb="3">
      <t>ジブン</t>
    </rPh>
    <rPh sb="4" eb="6">
      <t>カチ</t>
    </rPh>
    <rPh sb="6" eb="8">
      <t>キジュン</t>
    </rPh>
    <rPh sb="12" eb="13">
      <t>モ</t>
    </rPh>
    <rPh sb="27" eb="29">
      <t>ホンシツ</t>
    </rPh>
    <rPh sb="31" eb="33">
      <t>チョッカン</t>
    </rPh>
    <rPh sb="35" eb="37">
      <t>ウチュウ</t>
    </rPh>
    <rPh sb="38" eb="40">
      <t>ショクブツ</t>
    </rPh>
    <rPh sb="41" eb="43">
      <t>シゼン</t>
    </rPh>
    <rPh sb="49" eb="50">
      <t>ココロ</t>
    </rPh>
    <rPh sb="51" eb="52">
      <t>モト</t>
    </rPh>
    <rPh sb="54" eb="56">
      <t>セカイ</t>
    </rPh>
    <rPh sb="60" eb="62">
      <t>セカイ</t>
    </rPh>
    <phoneticPr fontId="1"/>
  </si>
  <si>
    <t>「自分が興味を魅かれる世界を直観に従い探求するストーリー」</t>
    <rPh sb="1" eb="3">
      <t>ジブン</t>
    </rPh>
    <rPh sb="4" eb="6">
      <t>キョウミ</t>
    </rPh>
    <rPh sb="7" eb="8">
      <t>ヒ</t>
    </rPh>
    <rPh sb="11" eb="13">
      <t>セカイ</t>
    </rPh>
    <rPh sb="14" eb="16">
      <t>チョッカン</t>
    </rPh>
    <rPh sb="17" eb="18">
      <t>シタガ</t>
    </rPh>
    <rPh sb="19" eb="21">
      <t>タンキュウ</t>
    </rPh>
    <phoneticPr fontId="1"/>
  </si>
  <si>
    <t>「他人が信頼できない、甘えてはいけない」との思い込み。
子供の頃のあなたがホッとできる時はどんな時でしたか？</t>
    <rPh sb="1" eb="3">
      <t>タニン</t>
    </rPh>
    <rPh sb="11" eb="12">
      <t>アマ</t>
    </rPh>
    <rPh sb="28" eb="30">
      <t>コドモ</t>
    </rPh>
    <rPh sb="31" eb="32">
      <t>コロ</t>
    </rPh>
    <rPh sb="43" eb="44">
      <t>トキ</t>
    </rPh>
    <rPh sb="48" eb="49">
      <t>トキ</t>
    </rPh>
    <phoneticPr fontId="1"/>
  </si>
  <si>
    <t>「両親が信頼できず早くから自立に目覚めるストーリー」</t>
    <rPh sb="1" eb="2">
      <t>リョウ</t>
    </rPh>
    <rPh sb="16" eb="18">
      <t>メザ</t>
    </rPh>
    <phoneticPr fontId="1"/>
  </si>
  <si>
    <t>「信頼・真実を求める」「本質が知りたい」
あなたの知性を活かせる場所はどこですか？</t>
    <rPh sb="1" eb="3">
      <t>シンライ</t>
    </rPh>
    <rPh sb="4" eb="6">
      <t>シンジツ</t>
    </rPh>
    <rPh sb="7" eb="8">
      <t>モト</t>
    </rPh>
    <rPh sb="12" eb="14">
      <t>ホンシツ</t>
    </rPh>
    <rPh sb="15" eb="16">
      <t>シ</t>
    </rPh>
    <rPh sb="25" eb="27">
      <t>チセイ</t>
    </rPh>
    <rPh sb="28" eb="29">
      <t>イ</t>
    </rPh>
    <rPh sb="32" eb="34">
      <t>バショ</t>
    </rPh>
    <phoneticPr fontId="1"/>
  </si>
  <si>
    <t>「独自な世界、高い理想を追求するストーリー」</t>
    <rPh sb="1" eb="3">
      <t>ドクジ</t>
    </rPh>
    <rPh sb="4" eb="6">
      <t>セカイ</t>
    </rPh>
    <rPh sb="7" eb="8">
      <t>タカ</t>
    </rPh>
    <rPh sb="9" eb="11">
      <t>リソウ</t>
    </rPh>
    <rPh sb="12" eb="14">
      <t>ツイキュウ</t>
    </rPh>
    <phoneticPr fontId="1"/>
  </si>
  <si>
    <t>「率先して豊かさを生み出し、分かち合う」「協力し合う」
あなたが人とわかち合いたいものは何ですか？</t>
    <rPh sb="1" eb="3">
      <t>ソッセン</t>
    </rPh>
    <rPh sb="5" eb="6">
      <t>ユタ</t>
    </rPh>
    <rPh sb="9" eb="10">
      <t>ウ</t>
    </rPh>
    <rPh sb="11" eb="12">
      <t>ダ</t>
    </rPh>
    <rPh sb="14" eb="15">
      <t>ワ</t>
    </rPh>
    <rPh sb="17" eb="18">
      <t>ア</t>
    </rPh>
    <rPh sb="21" eb="23">
      <t>キョウリョク</t>
    </rPh>
    <rPh sb="24" eb="25">
      <t>ア</t>
    </rPh>
    <rPh sb="32" eb="33">
      <t>ヒト</t>
    </rPh>
    <rPh sb="37" eb="38">
      <t>ア</t>
    </rPh>
    <rPh sb="44" eb="45">
      <t>ナン</t>
    </rPh>
    <phoneticPr fontId="1"/>
  </si>
  <si>
    <t>「目標に向かい惜しみなくエネルギーを注ぎ続けるストーリー」</t>
    <rPh sb="1" eb="3">
      <t>モクヒョウ</t>
    </rPh>
    <rPh sb="4" eb="5">
      <t>ム</t>
    </rPh>
    <rPh sb="7" eb="8">
      <t>オ</t>
    </rPh>
    <rPh sb="18" eb="19">
      <t>ソソ</t>
    </rPh>
    <rPh sb="20" eb="21">
      <t>ツヅ</t>
    </rPh>
    <phoneticPr fontId="1"/>
  </si>
  <si>
    <t>「お金や豊かさ、権力に関する嫌悪感」
「豊かさは、頑張ってこそ手に入るものとの思い込み」
あなたは休むことに抵抗を感じてはいませんか？</t>
    <rPh sb="20" eb="21">
      <t>ユタ</t>
    </rPh>
    <rPh sb="25" eb="27">
      <t>ガンバ</t>
    </rPh>
    <rPh sb="31" eb="32">
      <t>テ</t>
    </rPh>
    <rPh sb="33" eb="34">
      <t>ハイ</t>
    </rPh>
    <rPh sb="39" eb="40">
      <t>オモ</t>
    </rPh>
    <rPh sb="41" eb="42">
      <t>コ</t>
    </rPh>
    <rPh sb="49" eb="50">
      <t>ヤス</t>
    </rPh>
    <rPh sb="54" eb="56">
      <t>テイコウ</t>
    </rPh>
    <rPh sb="57" eb="58">
      <t>カン</t>
    </rPh>
    <phoneticPr fontId="1"/>
  </si>
  <si>
    <t>「お金や豊かさは頑張って手に入れるものストーリー」</t>
    <phoneticPr fontId="1"/>
  </si>
  <si>
    <t>「責任感とコントロール」「目標達成」
あなたが手にしたい成功とはどんな状態ですか？</t>
    <rPh sb="1" eb="4">
      <t>セキニンカン</t>
    </rPh>
    <rPh sb="13" eb="15">
      <t>モクヒョウ</t>
    </rPh>
    <rPh sb="15" eb="17">
      <t>タッセイ</t>
    </rPh>
    <rPh sb="23" eb="24">
      <t>テ</t>
    </rPh>
    <rPh sb="28" eb="30">
      <t>セイコウ</t>
    </rPh>
    <rPh sb="35" eb="37">
      <t>ジョウタイ</t>
    </rPh>
    <phoneticPr fontId="1"/>
  </si>
  <si>
    <t>「いつでも全力投球。気合と根性で前進あるのみストーリー」</t>
    <rPh sb="16" eb="18">
      <t>ゼンシン</t>
    </rPh>
    <phoneticPr fontId="1"/>
  </si>
  <si>
    <t>「人、世の中は常に正しくあるもの」
あなたが創りたい、望む世界はどんな世界ですか？</t>
    <rPh sb="22" eb="23">
      <t>ツク</t>
    </rPh>
    <rPh sb="27" eb="28">
      <t>ノゾ</t>
    </rPh>
    <rPh sb="29" eb="31">
      <t>セカイ</t>
    </rPh>
    <rPh sb="35" eb="37">
      <t>セカイ</t>
    </rPh>
    <phoneticPr fontId="1"/>
  </si>
  <si>
    <t>「内側と外側、人との関わりを学びに変えるストーリー」</t>
    <rPh sb="1" eb="3">
      <t>ウチガワ</t>
    </rPh>
    <rPh sb="4" eb="5">
      <t>ソト</t>
    </rPh>
    <rPh sb="5" eb="6">
      <t>ガワ</t>
    </rPh>
    <rPh sb="7" eb="8">
      <t>ヒト</t>
    </rPh>
    <rPh sb="10" eb="11">
      <t>カカ</t>
    </rPh>
    <rPh sb="14" eb="15">
      <t>マナ</t>
    </rPh>
    <rPh sb="17" eb="18">
      <t>カ</t>
    </rPh>
    <phoneticPr fontId="1"/>
  </si>
  <si>
    <t>「幼少期の大人びた思考・感情を抑える癖」
「周りと溶け込めない虚しさや疎外感を感じやすいとの思い込み」
ありのままのあなたの居場所はどこにありましたか？</t>
    <rPh sb="62" eb="65">
      <t>イバショ</t>
    </rPh>
    <phoneticPr fontId="1"/>
  </si>
  <si>
    <t>「自分の本当の居場所、真の理解者を外に求めるストーリー」</t>
    <phoneticPr fontId="1"/>
  </si>
  <si>
    <t>「世の中の人の役に立つ存在でありたい」
高い理想・平和を保つためにあなたができることは何ですか？</t>
    <rPh sb="1" eb="2">
      <t>ヨ</t>
    </rPh>
    <rPh sb="3" eb="4">
      <t>ナカ</t>
    </rPh>
    <rPh sb="5" eb="6">
      <t>ヒト</t>
    </rPh>
    <rPh sb="7" eb="8">
      <t>ヤク</t>
    </rPh>
    <rPh sb="9" eb="10">
      <t>タ</t>
    </rPh>
    <rPh sb="11" eb="13">
      <t>ソンザイ</t>
    </rPh>
    <rPh sb="20" eb="21">
      <t>タカ</t>
    </rPh>
    <rPh sb="22" eb="24">
      <t>リソウ</t>
    </rPh>
    <rPh sb="25" eb="27">
      <t>ヘイワ</t>
    </rPh>
    <rPh sb="28" eb="29">
      <t>タモ</t>
    </rPh>
    <rPh sb="43" eb="44">
      <t>ナン</t>
    </rPh>
    <phoneticPr fontId="1"/>
  </si>
  <si>
    <t>「高い理想を求め自ら奉仕、貢献する、智慧を深めるストーリー」</t>
    <rPh sb="1" eb="2">
      <t>タカ</t>
    </rPh>
    <rPh sb="3" eb="5">
      <t>リソウ</t>
    </rPh>
    <rPh sb="6" eb="7">
      <t>モト</t>
    </rPh>
    <rPh sb="8" eb="9">
      <t>ミズカ</t>
    </rPh>
    <rPh sb="10" eb="12">
      <t>ホウシ</t>
    </rPh>
    <rPh sb="13" eb="15">
      <t>コウケン</t>
    </rPh>
    <rPh sb="18" eb="20">
      <t>チエ</t>
    </rPh>
    <rPh sb="21" eb="22">
      <t>フカ</t>
    </rPh>
    <phoneticPr fontId="1"/>
  </si>
  <si>
    <t>「生まれながらに感受性が鋭い、繫がりを大切にしたい」
あなたが落ち着ける場所はどんな場所ですか？</t>
    <rPh sb="1" eb="2">
      <t>ウ</t>
    </rPh>
    <rPh sb="8" eb="11">
      <t>カンジュセイ</t>
    </rPh>
    <rPh sb="12" eb="13">
      <t>スルド</t>
    </rPh>
    <rPh sb="15" eb="16">
      <t>ツナ</t>
    </rPh>
    <rPh sb="19" eb="21">
      <t>タイセツ</t>
    </rPh>
    <rPh sb="31" eb="32">
      <t>オ</t>
    </rPh>
    <rPh sb="33" eb="34">
      <t>ツ</t>
    </rPh>
    <rPh sb="36" eb="38">
      <t>バショ</t>
    </rPh>
    <rPh sb="42" eb="44">
      <t>バショ</t>
    </rPh>
    <phoneticPr fontId="1"/>
  </si>
  <si>
    <t>「人を精神面でサポート、導くストーリー」</t>
    <rPh sb="1" eb="2">
      <t>ヒト</t>
    </rPh>
    <rPh sb="3" eb="6">
      <t>セイシンメン</t>
    </rPh>
    <rPh sb="12" eb="13">
      <t>ミチビ</t>
    </rPh>
    <phoneticPr fontId="1"/>
  </si>
  <si>
    <t>「独自の感性の違いから疎外感を感じやすい」
あなたが生まれ持った感受性を活かせる場所はどこですか？</t>
    <rPh sb="7" eb="8">
      <t>チガ</t>
    </rPh>
    <rPh sb="11" eb="14">
      <t>ソガイカン</t>
    </rPh>
    <rPh sb="15" eb="16">
      <t>カン</t>
    </rPh>
    <rPh sb="26" eb="27">
      <t>ウ</t>
    </rPh>
    <rPh sb="29" eb="30">
      <t>モ</t>
    </rPh>
    <rPh sb="32" eb="35">
      <t>カンジュセイ</t>
    </rPh>
    <rPh sb="36" eb="37">
      <t>イ</t>
    </rPh>
    <rPh sb="40" eb="42">
      <t>バショ</t>
    </rPh>
    <phoneticPr fontId="1"/>
  </si>
  <si>
    <t>「自分の軸の整え方を学ぶストーリー」</t>
    <rPh sb="1" eb="3">
      <t>ジブン</t>
    </rPh>
    <rPh sb="4" eb="5">
      <t>ジク</t>
    </rPh>
    <rPh sb="6" eb="7">
      <t>トトノ</t>
    </rPh>
    <rPh sb="8" eb="9">
      <t>カタ</t>
    </rPh>
    <rPh sb="10" eb="11">
      <t>マナ</t>
    </rPh>
    <phoneticPr fontId="1"/>
  </si>
  <si>
    <t>「直感に従う、見えない世界をあたり前に取り入れ活かす」
 あなたの感性をどのように表現していきますか？</t>
    <rPh sb="1" eb="3">
      <t>チョッカン</t>
    </rPh>
    <rPh sb="4" eb="5">
      <t>シタガ</t>
    </rPh>
    <rPh sb="7" eb="8">
      <t>ミ</t>
    </rPh>
    <rPh sb="11" eb="13">
      <t>セカイ</t>
    </rPh>
    <rPh sb="17" eb="18">
      <t>マエ</t>
    </rPh>
    <rPh sb="19" eb="20">
      <t>ト</t>
    </rPh>
    <rPh sb="21" eb="22">
      <t>イ</t>
    </rPh>
    <rPh sb="23" eb="24">
      <t>イ</t>
    </rPh>
    <rPh sb="33" eb="35">
      <t>カンセイ</t>
    </rPh>
    <rPh sb="41" eb="43">
      <t>ヒョウゲン</t>
    </rPh>
    <phoneticPr fontId="1"/>
  </si>
  <si>
    <t>「自分の感性と向き合い、「今」に目を向けるためのストーリー」</t>
    <rPh sb="1" eb="3">
      <t>ジブン</t>
    </rPh>
    <rPh sb="4" eb="6">
      <t>カンセイ</t>
    </rPh>
    <rPh sb="7" eb="8">
      <t>ム</t>
    </rPh>
    <rPh sb="9" eb="10">
      <t>ア</t>
    </rPh>
    <rPh sb="13" eb="14">
      <t>イマ</t>
    </rPh>
    <rPh sb="16" eb="17">
      <t>メ</t>
    </rPh>
    <rPh sb="18" eb="19">
      <t>ム</t>
    </rPh>
    <phoneticPr fontId="1"/>
  </si>
  <si>
    <t>「正義のために行動する」
「実行力・実現力に優れている」
本来のあなたを発揮する時はいつですか？</t>
    <rPh sb="1" eb="3">
      <t>セイギ</t>
    </rPh>
    <rPh sb="7" eb="9">
      <t>コウドウ</t>
    </rPh>
    <rPh sb="14" eb="17">
      <t>ジッコウリョク</t>
    </rPh>
    <rPh sb="18" eb="20">
      <t>ジツゲン</t>
    </rPh>
    <rPh sb="20" eb="21">
      <t>リョク</t>
    </rPh>
    <rPh sb="22" eb="23">
      <t>スグ</t>
    </rPh>
    <rPh sb="29" eb="31">
      <t>ホンライ</t>
    </rPh>
    <rPh sb="36" eb="38">
      <t>ハッキ</t>
    </rPh>
    <rPh sb="40" eb="41">
      <t>トキ</t>
    </rPh>
    <phoneticPr fontId="1"/>
  </si>
  <si>
    <t>「自分の中の強い精神力、カリスマ性と向き合うストーリー」</t>
    <rPh sb="1" eb="3">
      <t>ジブン</t>
    </rPh>
    <rPh sb="4" eb="5">
      <t>ナカ</t>
    </rPh>
    <rPh sb="6" eb="7">
      <t>ツヨ</t>
    </rPh>
    <rPh sb="8" eb="11">
      <t>セイシンリョク</t>
    </rPh>
    <rPh sb="16" eb="17">
      <t>セイ</t>
    </rPh>
    <rPh sb="18" eb="19">
      <t>ム</t>
    </rPh>
    <rPh sb="20" eb="21">
      <t>ア</t>
    </rPh>
    <phoneticPr fontId="1"/>
  </si>
  <si>
    <t>「正義のために行動する」「実行力・実現力に優れている」
本来のあなたを発揮するときはいつですか？</t>
    <rPh sb="1" eb="3">
      <t>セイギ</t>
    </rPh>
    <rPh sb="7" eb="9">
      <t>コウドウ</t>
    </rPh>
    <rPh sb="13" eb="16">
      <t>ジッコウリョク</t>
    </rPh>
    <rPh sb="17" eb="19">
      <t>ジツゲン</t>
    </rPh>
    <rPh sb="19" eb="20">
      <t>リョク</t>
    </rPh>
    <rPh sb="21" eb="22">
      <t>スグ</t>
    </rPh>
    <rPh sb="28" eb="30">
      <t>ホンライ</t>
    </rPh>
    <rPh sb="35" eb="37">
      <t>ハッキ</t>
    </rPh>
    <phoneticPr fontId="1"/>
  </si>
  <si>
    <t>「チャレンジする目標があってこそ！」
本来のあなたを発揮するときはいつですか？</t>
    <rPh sb="8" eb="10">
      <t>モクヒョウ</t>
    </rPh>
    <rPh sb="19" eb="21">
      <t>ホンライ</t>
    </rPh>
    <rPh sb="26" eb="28">
      <t>ハッキ</t>
    </rPh>
    <phoneticPr fontId="1"/>
  </si>
  <si>
    <t>「人の役に立ちたいと思いながらも、自分には力がないとの思い込み」
あなたが創りたい世界とは、どんな世界ですか？　　　　　　　　　　　　　</t>
    <rPh sb="1" eb="2">
      <t>ヒト</t>
    </rPh>
    <rPh sb="3" eb="4">
      <t>ヤク</t>
    </rPh>
    <rPh sb="5" eb="6">
      <t>タ</t>
    </rPh>
    <rPh sb="10" eb="11">
      <t>オモ</t>
    </rPh>
    <rPh sb="17" eb="19">
      <t>ジブン</t>
    </rPh>
    <rPh sb="21" eb="22">
      <t>チカラ</t>
    </rPh>
    <rPh sb="27" eb="28">
      <t>オモ</t>
    </rPh>
    <rPh sb="29" eb="30">
      <t>コ</t>
    </rPh>
    <rPh sb="37" eb="38">
      <t>ツク</t>
    </rPh>
    <rPh sb="41" eb="43">
      <t>セカイ</t>
    </rPh>
    <rPh sb="49" eb="51">
      <t>セカイ</t>
    </rPh>
    <phoneticPr fontId="1"/>
  </si>
  <si>
    <t>「自らを高めることで影響力を与えるストーリー」</t>
    <rPh sb="1" eb="2">
      <t>ミズカ</t>
    </rPh>
    <rPh sb="4" eb="5">
      <t>タカ</t>
    </rPh>
    <rPh sb="10" eb="13">
      <t>エイキョウリョク</t>
    </rPh>
    <rPh sb="14" eb="15">
      <t>アタ</t>
    </rPh>
    <phoneticPr fontId="1"/>
  </si>
  <si>
    <t>≪対応ページ⑤≫</t>
    <rPh sb="1" eb="3">
      <t>タイオウ</t>
    </rPh>
    <phoneticPr fontId="1"/>
  </si>
  <si>
    <t>人生の目的・使命（命の使い道）</t>
    <rPh sb="0" eb="2">
      <t>ジンセイ</t>
    </rPh>
    <rPh sb="3" eb="5">
      <t>モクテキ</t>
    </rPh>
    <rPh sb="6" eb="8">
      <t>シメイ</t>
    </rPh>
    <rPh sb="9" eb="10">
      <t>イノチ</t>
    </rPh>
    <rPh sb="11" eb="12">
      <t>ツカ</t>
    </rPh>
    <rPh sb="13" eb="14">
      <t>ミチ</t>
    </rPh>
    <phoneticPr fontId="1"/>
  </si>
  <si>
    <t>使命を実践するための具体策</t>
  </si>
  <si>
    <t>あらゆる分野で先駆けとなり、「新しい価値を創造する使命」</t>
    <rPh sb="4" eb="6">
      <t>ブンヤ</t>
    </rPh>
    <rPh sb="7" eb="9">
      <t>サキガ</t>
    </rPh>
    <rPh sb="15" eb="16">
      <t>アタラ</t>
    </rPh>
    <rPh sb="18" eb="20">
      <t>カチ</t>
    </rPh>
    <rPh sb="21" eb="23">
      <t>ソウゾウ</t>
    </rPh>
    <rPh sb="25" eb="27">
      <t>シメイ</t>
    </rPh>
    <phoneticPr fontId="1"/>
  </si>
  <si>
    <t>自信を揺るがないものとし、自らの人生を主役で生きる。
自分の選択に責任を持ち、溢れるエネルギーを開放する役割。</t>
    <rPh sb="0" eb="2">
      <t>ジシン</t>
    </rPh>
    <rPh sb="3" eb="4">
      <t>ユ</t>
    </rPh>
    <rPh sb="13" eb="14">
      <t>ミズカ</t>
    </rPh>
    <rPh sb="16" eb="18">
      <t>ジンセイ</t>
    </rPh>
    <rPh sb="19" eb="21">
      <t>シュヤク</t>
    </rPh>
    <rPh sb="22" eb="23">
      <t>イ</t>
    </rPh>
    <rPh sb="27" eb="29">
      <t>ジブン</t>
    </rPh>
    <rPh sb="30" eb="32">
      <t>センタク</t>
    </rPh>
    <rPh sb="33" eb="35">
      <t>セキニン</t>
    </rPh>
    <rPh sb="36" eb="37">
      <t>モ</t>
    </rPh>
    <rPh sb="39" eb="40">
      <t>アフ</t>
    </rPh>
    <rPh sb="48" eb="50">
      <t>カイホウ</t>
    </rPh>
    <rPh sb="52" eb="54">
      <t>ヤクワリ</t>
    </rPh>
    <phoneticPr fontId="1"/>
  </si>
  <si>
    <t>・決断しスタートする（希望と信頼）
・最善を選択する（愛のある方を）　
・先駆者としてチームをまとめる（自分を信じる）　
・新たな可能性を開拓する（今、ここから）・地に足つけて行動する（グラウディング）
・後継者を導き育てる（経緯を示す）</t>
    <phoneticPr fontId="1"/>
  </si>
  <si>
    <t>相対する二極を繋ぎ、「世の中をバランスよくサポートする使命」</t>
    <rPh sb="0" eb="2">
      <t>ソウタイ</t>
    </rPh>
    <rPh sb="4" eb="6">
      <t>ニキョク</t>
    </rPh>
    <rPh sb="7" eb="8">
      <t>ツナ</t>
    </rPh>
    <rPh sb="11" eb="12">
      <t>ヨ</t>
    </rPh>
    <rPh sb="13" eb="14">
      <t>ナカ</t>
    </rPh>
    <rPh sb="27" eb="29">
      <t>シメイ</t>
    </rPh>
    <phoneticPr fontId="1"/>
  </si>
  <si>
    <t>実力のあるあなたが、敢えて支える側にまわる
人の心や精神を理解しバランスを取る、別の可能性をつなぐ役割。</t>
    <rPh sb="0" eb="2">
      <t>ジツリョク</t>
    </rPh>
    <rPh sb="10" eb="11">
      <t>ア</t>
    </rPh>
    <rPh sb="13" eb="14">
      <t>ササ</t>
    </rPh>
    <rPh sb="16" eb="17">
      <t>ガワ</t>
    </rPh>
    <rPh sb="22" eb="23">
      <t>ヒト</t>
    </rPh>
    <rPh sb="24" eb="25">
      <t>ココロ</t>
    </rPh>
    <rPh sb="26" eb="28">
      <t>セイシン</t>
    </rPh>
    <rPh sb="29" eb="31">
      <t>リカイ</t>
    </rPh>
    <rPh sb="37" eb="38">
      <t>ト</t>
    </rPh>
    <rPh sb="40" eb="41">
      <t>ベツ</t>
    </rPh>
    <rPh sb="42" eb="45">
      <t>カノウセイ</t>
    </rPh>
    <rPh sb="49" eb="51">
      <t>ヤクワリ</t>
    </rPh>
    <phoneticPr fontId="1"/>
  </si>
  <si>
    <t>・人・物事を結び付ける
・繋ぐ（コーディネート・プロデュース）　
・育成し、見守る（愛を注ぐ）
・協力体制をつくる（調和・和）
・サポーターとなり人を支える（支援）・衣食住に豊かな感性を活かす（心の平穏）
・二極のバランスを整える（ニュートラル）</t>
    <rPh sb="61" eb="62">
      <t>ワ</t>
    </rPh>
    <phoneticPr fontId="1"/>
  </si>
  <si>
    <t>内なる心を表現することで、「人々の感性を目覚めさせる使命」</t>
    <rPh sb="0" eb="1">
      <t>ウチ</t>
    </rPh>
    <rPh sb="3" eb="4">
      <t>ココロ</t>
    </rPh>
    <rPh sb="5" eb="7">
      <t>ヒョウゲン</t>
    </rPh>
    <rPh sb="14" eb="16">
      <t>ヒトビト</t>
    </rPh>
    <rPh sb="17" eb="19">
      <t>カンセイ</t>
    </rPh>
    <rPh sb="20" eb="22">
      <t>メザ</t>
    </rPh>
    <rPh sb="26" eb="28">
      <t>シメイ</t>
    </rPh>
    <phoneticPr fontId="1"/>
  </si>
  <si>
    <t>霊性と繋がり感じたものを表現することで、人々に希望と喜びを与え、可能性の扉を開く役割。
人生が喜びに満ち溢れていることを自ら感じましょう。</t>
    <rPh sb="0" eb="2">
      <t>レイセイ</t>
    </rPh>
    <rPh sb="3" eb="4">
      <t>ツナ</t>
    </rPh>
    <rPh sb="6" eb="7">
      <t>カン</t>
    </rPh>
    <rPh sb="12" eb="14">
      <t>ヒョウゲン</t>
    </rPh>
    <rPh sb="20" eb="22">
      <t>ヒトビト</t>
    </rPh>
    <rPh sb="23" eb="25">
      <t>キボウ</t>
    </rPh>
    <rPh sb="26" eb="27">
      <t>ヨロコ</t>
    </rPh>
    <rPh sb="29" eb="30">
      <t>アタ</t>
    </rPh>
    <rPh sb="32" eb="35">
      <t>カノウセイ</t>
    </rPh>
    <rPh sb="36" eb="37">
      <t>トビラ</t>
    </rPh>
    <rPh sb="38" eb="39">
      <t>ヒラ</t>
    </rPh>
    <rPh sb="40" eb="42">
      <t>ヤクワリ</t>
    </rPh>
    <rPh sb="44" eb="46">
      <t>ジンセイ</t>
    </rPh>
    <rPh sb="47" eb="48">
      <t>ヨロコ</t>
    </rPh>
    <rPh sb="50" eb="51">
      <t>ミ</t>
    </rPh>
    <rPh sb="52" eb="53">
      <t>アフ</t>
    </rPh>
    <rPh sb="60" eb="61">
      <t>ミズカ</t>
    </rPh>
    <rPh sb="62" eb="63">
      <t>カン</t>
    </rPh>
    <phoneticPr fontId="1"/>
  </si>
  <si>
    <t>・自ら楽しむ（歓びを味わう）
・言葉・創作活動による表現（クリエイティブな活動）
・アイディアをカタチにする（自分らしさを）
・表現力の発信（影響を与え合う）
・歓びのコミュニティーをつくる（和）
・オリジナル、クオリティの確立（内なる声に従う）</t>
    <phoneticPr fontId="1"/>
  </si>
  <si>
    <t>プロセスを着実に実行し、「安心・安定を見える形に導く使命」</t>
    <rPh sb="5" eb="7">
      <t>チャクジツ</t>
    </rPh>
    <rPh sb="8" eb="10">
      <t>ジッコウ</t>
    </rPh>
    <rPh sb="13" eb="15">
      <t>アンシン</t>
    </rPh>
    <rPh sb="16" eb="18">
      <t>アンテイ</t>
    </rPh>
    <rPh sb="19" eb="20">
      <t>ミ</t>
    </rPh>
    <rPh sb="22" eb="23">
      <t>カタチ</t>
    </rPh>
    <rPh sb="24" eb="25">
      <t>ミチビ</t>
    </rPh>
    <rPh sb="26" eb="28">
      <t>シメイ</t>
    </rPh>
    <phoneticPr fontId="1"/>
  </si>
  <si>
    <t>安心・安定した精神、居場所を創造する役割。
物質世界と精神世界を現実的にカタチに残す。</t>
    <rPh sb="0" eb="2">
      <t>アンシン</t>
    </rPh>
    <rPh sb="3" eb="5">
      <t>アンテイ</t>
    </rPh>
    <rPh sb="7" eb="9">
      <t>セイシン</t>
    </rPh>
    <rPh sb="10" eb="13">
      <t>イバショ</t>
    </rPh>
    <rPh sb="14" eb="16">
      <t>ソウゾウ</t>
    </rPh>
    <rPh sb="18" eb="20">
      <t>ヤクワリ</t>
    </rPh>
    <rPh sb="22" eb="24">
      <t>ブッシツ</t>
    </rPh>
    <rPh sb="24" eb="26">
      <t>セカイ</t>
    </rPh>
    <rPh sb="27" eb="29">
      <t>セイシン</t>
    </rPh>
    <rPh sb="29" eb="31">
      <t>セカイ</t>
    </rPh>
    <rPh sb="32" eb="35">
      <t>ゲンジツテキ</t>
    </rPh>
    <rPh sb="40" eb="41">
      <t>ノコ</t>
    </rPh>
    <phoneticPr fontId="1"/>
  </si>
  <si>
    <t>・現実的なカタチに残す（継承）
・基礎・土台をつくる（安定）
・わかりやすく伝える（教え・導く）
・安らぎの空間を生み出す（安心）
・地道に努力を重ねる（勤勉）</t>
    <phoneticPr fontId="1"/>
  </si>
  <si>
    <t>自ら得た有意義な情報を社会に発信し、　　　　　　　　　　　　　　　　　　　　　　　　　　　　　　　　　　　　　　　　　「人々の変化・成長を促す使命」</t>
    <rPh sb="0" eb="1">
      <t>ミズカ</t>
    </rPh>
    <rPh sb="2" eb="3">
      <t>エ</t>
    </rPh>
    <rPh sb="4" eb="7">
      <t>ユウイギ</t>
    </rPh>
    <rPh sb="8" eb="10">
      <t>ジョウホウ</t>
    </rPh>
    <rPh sb="11" eb="13">
      <t>シャカイ</t>
    </rPh>
    <rPh sb="14" eb="16">
      <t>ハッシン</t>
    </rPh>
    <rPh sb="60" eb="62">
      <t>ヒトビト</t>
    </rPh>
    <rPh sb="63" eb="65">
      <t>ヘンカ</t>
    </rPh>
    <rPh sb="66" eb="68">
      <t>セイチョウ</t>
    </rPh>
    <rPh sb="69" eb="70">
      <t>ウナガ</t>
    </rPh>
    <rPh sb="71" eb="73">
      <t>シメイ</t>
    </rPh>
    <phoneticPr fontId="1"/>
  </si>
  <si>
    <t>真の自由を手に入れ、人と繋がり得た情報を発信・表現することで、
世の中に新たな価値観・変化を起こす役割。。</t>
    <rPh sb="0" eb="1">
      <t>シン</t>
    </rPh>
    <rPh sb="2" eb="4">
      <t>ジユウ</t>
    </rPh>
    <rPh sb="5" eb="6">
      <t>テ</t>
    </rPh>
    <rPh sb="7" eb="8">
      <t>イ</t>
    </rPh>
    <rPh sb="10" eb="11">
      <t>ヒト</t>
    </rPh>
    <rPh sb="12" eb="13">
      <t>ツナ</t>
    </rPh>
    <rPh sb="15" eb="16">
      <t>エ</t>
    </rPh>
    <rPh sb="17" eb="19">
      <t>ジョウホウ</t>
    </rPh>
    <rPh sb="20" eb="22">
      <t>ハッシン</t>
    </rPh>
    <rPh sb="23" eb="25">
      <t>ヒョウゲン</t>
    </rPh>
    <rPh sb="32" eb="33">
      <t>ヨ</t>
    </rPh>
    <rPh sb="34" eb="35">
      <t>ナカ</t>
    </rPh>
    <rPh sb="36" eb="37">
      <t>アラ</t>
    </rPh>
    <rPh sb="39" eb="42">
      <t>カチカン</t>
    </rPh>
    <rPh sb="43" eb="45">
      <t>ヘンカ</t>
    </rPh>
    <rPh sb="46" eb="47">
      <t>オ</t>
    </rPh>
    <rPh sb="49" eb="51">
      <t>ヤクワリ</t>
    </rPh>
    <phoneticPr fontId="1"/>
  </si>
  <si>
    <t>・可能性の扉を開く（変化）・人と人、情報を繋ぐ（コミュニケーション）
・専門性を高める（専門性の研究）　　
・変化を自ら起こす（成長）　　　　　　　　　　　　　　　　　　　　　　　　　　　　　　　　　　　　　　　　　　　　　　　　　　
・情報発信・拡大（希望）　　　　　　　　　　　　　　　　　　　　　　　　　　　　　　　　　　　　　　　　　　　　　　　　　　　　　　
・謙虚さを学ぶ（感謝）</t>
    <phoneticPr fontId="1"/>
  </si>
  <si>
    <t>人々のハートを開き、　　　　　　　　　　　　　　　　　　　　　　　　　　　　　　　　　　　　　　　　　　　　　　　　　　　　　「それぞれの中の美と調和、愛と受容を目覚めさせる使命」</t>
    <rPh sb="0" eb="2">
      <t>ヒトビト</t>
    </rPh>
    <rPh sb="7" eb="8">
      <t>ヒラ</t>
    </rPh>
    <rPh sb="69" eb="70">
      <t>ナカ</t>
    </rPh>
    <rPh sb="71" eb="72">
      <t>ビ</t>
    </rPh>
    <rPh sb="73" eb="75">
      <t>チョウワ</t>
    </rPh>
    <rPh sb="76" eb="77">
      <t>アイ</t>
    </rPh>
    <rPh sb="78" eb="80">
      <t>ジュヨウ</t>
    </rPh>
    <rPh sb="81" eb="83">
      <t>メザ</t>
    </rPh>
    <rPh sb="87" eb="89">
      <t>シメイ</t>
    </rPh>
    <phoneticPr fontId="1"/>
  </si>
  <si>
    <t>ありのままを受容し、まずは自らを満たす。
溢れ出るエネルギーが、人に分け与えることができる愛の適量と知る。　　　　　　　　　　　　　　　　　　　　　　　　　　　　　　　　　　　　　　　　　　　　　　　　　　　　　　　　　　　　　　　　　　　　　　　　　　　　　　　　　　　　　　　　　癒し、育てる役割。</t>
    <rPh sb="6" eb="8">
      <t>ジュヨウ</t>
    </rPh>
    <rPh sb="13" eb="14">
      <t>ミズカ</t>
    </rPh>
    <rPh sb="16" eb="17">
      <t>ミ</t>
    </rPh>
    <rPh sb="21" eb="22">
      <t>アフ</t>
    </rPh>
    <rPh sb="23" eb="24">
      <t>デ</t>
    </rPh>
    <rPh sb="32" eb="33">
      <t>ヒト</t>
    </rPh>
    <rPh sb="34" eb="35">
      <t>ワ</t>
    </rPh>
    <rPh sb="36" eb="37">
      <t>アタ</t>
    </rPh>
    <rPh sb="45" eb="46">
      <t>アイ</t>
    </rPh>
    <rPh sb="47" eb="49">
      <t>テキリョウ</t>
    </rPh>
    <rPh sb="50" eb="51">
      <t>シ</t>
    </rPh>
    <rPh sb="142" eb="143">
      <t>イヤ</t>
    </rPh>
    <rPh sb="145" eb="146">
      <t>ソダ</t>
    </rPh>
    <rPh sb="148" eb="150">
      <t>ヤクワリ</t>
    </rPh>
    <phoneticPr fontId="1"/>
  </si>
  <si>
    <t>・美しさを楽しみ追求する（美の表現）　・愛情を受け取り、深め合う（受容）
・完璧さの執着を手放す（ありのまま）
・平穏の中で人を育てる（養育・養成）
・家庭・グループをまとめる（調和）
・癒しを与える（ヒーリング・慈愛）</t>
    <phoneticPr fontId="1"/>
  </si>
  <si>
    <t>人々の中にある本質を目覚めさせ、「高い精神性を引き出す使命」</t>
    <rPh sb="0" eb="2">
      <t>ヒトビト</t>
    </rPh>
    <rPh sb="3" eb="4">
      <t>ナカ</t>
    </rPh>
    <rPh sb="7" eb="9">
      <t>ホンシツ</t>
    </rPh>
    <rPh sb="10" eb="12">
      <t>メザ</t>
    </rPh>
    <rPh sb="17" eb="18">
      <t>タカ</t>
    </rPh>
    <rPh sb="19" eb="22">
      <t>セイシンセイ</t>
    </rPh>
    <rPh sb="23" eb="24">
      <t>ヒ</t>
    </rPh>
    <rPh sb="25" eb="26">
      <t>ダ</t>
    </rPh>
    <rPh sb="27" eb="29">
      <t>シメイ</t>
    </rPh>
    <phoneticPr fontId="1"/>
  </si>
  <si>
    <t>本質を追求し、専門性を活かす。
独自なスタイルを確立させ、自立する。自立を促す役割。</t>
    <rPh sb="0" eb="2">
      <t>ホンシツ</t>
    </rPh>
    <rPh sb="3" eb="5">
      <t>ツイキュウ</t>
    </rPh>
    <rPh sb="7" eb="10">
      <t>センモンセイ</t>
    </rPh>
    <rPh sb="11" eb="12">
      <t>イ</t>
    </rPh>
    <rPh sb="16" eb="18">
      <t>ドクジ</t>
    </rPh>
    <rPh sb="24" eb="26">
      <t>カクリツ</t>
    </rPh>
    <rPh sb="29" eb="31">
      <t>ジリツ</t>
    </rPh>
    <rPh sb="34" eb="36">
      <t>ジリツ</t>
    </rPh>
    <rPh sb="37" eb="38">
      <t>ウナガ</t>
    </rPh>
    <rPh sb="39" eb="41">
      <t>ヤクワリ</t>
    </rPh>
    <phoneticPr fontId="1"/>
  </si>
  <si>
    <t>・専門性を追求する（専門家となる）
・冷静な判断で人を導く（自己信頼）・独自の世界を創る（変革）
・人々に本質を目覚めさせる（覚醒）
・素直に愛を表現する（本来の自分）
・自立・独立（内なる導きに従う）</t>
    <phoneticPr fontId="1"/>
  </si>
  <si>
    <t>真の豊かさ、可能性をもたらし、「社会に循環・拡大させる使命」</t>
    <rPh sb="0" eb="1">
      <t>シン</t>
    </rPh>
    <rPh sb="2" eb="3">
      <t>ユタ</t>
    </rPh>
    <rPh sb="6" eb="9">
      <t>カノウセイ</t>
    </rPh>
    <rPh sb="16" eb="18">
      <t>シャカイ</t>
    </rPh>
    <rPh sb="19" eb="21">
      <t>ジュンカン</t>
    </rPh>
    <rPh sb="22" eb="24">
      <t>カクダイ</t>
    </rPh>
    <rPh sb="27" eb="29">
      <t>シメイ</t>
    </rPh>
    <phoneticPr fontId="1"/>
  </si>
  <si>
    <t>豊かさを手に入れ、成功に執着せずに人々と分かち合う。
エネルギーの流れを創る。
人々の不可能を可能へと導く役割。</t>
    <rPh sb="0" eb="1">
      <t>ユタ</t>
    </rPh>
    <rPh sb="4" eb="5">
      <t>テ</t>
    </rPh>
    <rPh sb="6" eb="7">
      <t>イ</t>
    </rPh>
    <rPh sb="9" eb="11">
      <t>セイコウ</t>
    </rPh>
    <rPh sb="12" eb="14">
      <t>シュウチャク</t>
    </rPh>
    <rPh sb="17" eb="19">
      <t>ヒトビト</t>
    </rPh>
    <rPh sb="20" eb="21">
      <t>ワ</t>
    </rPh>
    <rPh sb="23" eb="24">
      <t>ア</t>
    </rPh>
    <rPh sb="33" eb="34">
      <t>ナガ</t>
    </rPh>
    <rPh sb="36" eb="37">
      <t>ツク</t>
    </rPh>
    <rPh sb="40" eb="42">
      <t>ヒトビト</t>
    </rPh>
    <rPh sb="43" eb="46">
      <t>フカノウ</t>
    </rPh>
    <rPh sb="47" eb="49">
      <t>カノウ</t>
    </rPh>
    <rPh sb="51" eb="52">
      <t>ミチビ</t>
    </rPh>
    <rPh sb="53" eb="55">
      <t>ヤクワリ</t>
    </rPh>
    <phoneticPr fontId="1"/>
  </si>
  <si>
    <t>・エネルギーを循環させる（拡大成長）
・組織の構築（統率）
・感謝して分かち合う（歓び）
・真のリーダーとなる（信念）
・豊かさを体現する（罪悪感を手放す）
・困難にひるまず挑戦する（実行実現力）</t>
    <phoneticPr fontId="1"/>
  </si>
  <si>
    <t>高い知恵と愛で、「人々を完全調和に導く使命」</t>
    <rPh sb="0" eb="1">
      <t>タカ</t>
    </rPh>
    <rPh sb="2" eb="4">
      <t>チエ</t>
    </rPh>
    <rPh sb="5" eb="6">
      <t>アイ</t>
    </rPh>
    <rPh sb="9" eb="11">
      <t>ヒトビト</t>
    </rPh>
    <rPh sb="12" eb="14">
      <t>カンゼン</t>
    </rPh>
    <rPh sb="14" eb="16">
      <t>チョウワ</t>
    </rPh>
    <rPh sb="17" eb="18">
      <t>ミチビ</t>
    </rPh>
    <rPh sb="19" eb="21">
      <t>シメイ</t>
    </rPh>
    <phoneticPr fontId="1"/>
  </si>
  <si>
    <t xml:space="preserve">こだわりをゆるめ、ありのままの自分と他人をゆるす。　　　　　　　　　　　　　　　　　　　　　　　　　　　　　　　　　　　　　　　　　　　　　　　　　　　　　　　　　　　　　　　　　　　　　　　　　　　　　　　　　　　　　　　　　　　　　　　　高い知恵・理想を保ち、社会や世界全体の意識を平和・調和へと促す役割。
</t>
    <rPh sb="15" eb="17">
      <t>ジブン</t>
    </rPh>
    <rPh sb="18" eb="20">
      <t>タニン</t>
    </rPh>
    <rPh sb="121" eb="122">
      <t>タカ</t>
    </rPh>
    <rPh sb="123" eb="125">
      <t>チエ</t>
    </rPh>
    <rPh sb="126" eb="128">
      <t>リソウ</t>
    </rPh>
    <rPh sb="129" eb="130">
      <t>タモ</t>
    </rPh>
    <rPh sb="132" eb="134">
      <t>シャカイ</t>
    </rPh>
    <rPh sb="135" eb="137">
      <t>セカイ</t>
    </rPh>
    <rPh sb="137" eb="139">
      <t>ゼンタイ</t>
    </rPh>
    <rPh sb="140" eb="142">
      <t>イシキ</t>
    </rPh>
    <rPh sb="143" eb="145">
      <t>ヘイワ</t>
    </rPh>
    <rPh sb="146" eb="148">
      <t>チョウワ</t>
    </rPh>
    <rPh sb="150" eb="151">
      <t>ウナガ</t>
    </rPh>
    <rPh sb="152" eb="154">
      <t>ヤクワリ</t>
    </rPh>
    <phoneticPr fontId="1"/>
  </si>
  <si>
    <t>・ありのままを受け入れる（ゆるし）
・精神的サポートをする（癒し）
・智慧を次に伝える（導き）
・迷える人の理解者となる（メンター）
・人類愛を目覚めさせる（ボランティア）
・精神的成長を促す（完全調和）</t>
    <phoneticPr fontId="1"/>
  </si>
  <si>
    <t>鋭い感受性を活かし、
直観・サイキック・テレパシーで受動したメッセージを表現することで
「人々の精神性を目覚めさせる使命」</t>
    <rPh sb="0" eb="1">
      <t>スルド</t>
    </rPh>
    <rPh sb="2" eb="5">
      <t>カンジュセイ</t>
    </rPh>
    <rPh sb="6" eb="7">
      <t>イ</t>
    </rPh>
    <rPh sb="11" eb="13">
      <t>チョッカン</t>
    </rPh>
    <rPh sb="26" eb="28">
      <t>ジュドウ</t>
    </rPh>
    <rPh sb="36" eb="38">
      <t>ヒョウゲン</t>
    </rPh>
    <rPh sb="45" eb="47">
      <t>ヒトビト</t>
    </rPh>
    <rPh sb="48" eb="51">
      <t>セイシンセイ</t>
    </rPh>
    <rPh sb="52" eb="54">
      <t>メザ</t>
    </rPh>
    <rPh sb="58" eb="60">
      <t>シメイ</t>
    </rPh>
    <phoneticPr fontId="1"/>
  </si>
  <si>
    <t>目覚めたスピリチャルの感性を現実に統合させ
人がよりよく生きていくための在りかたを、自ら実践することで真のリーダーとなる役割。</t>
    <rPh sb="0" eb="2">
      <t>メザ</t>
    </rPh>
    <rPh sb="11" eb="13">
      <t>カンセイ</t>
    </rPh>
    <rPh sb="14" eb="16">
      <t>ゲンジツ</t>
    </rPh>
    <rPh sb="17" eb="19">
      <t>トウゴウ</t>
    </rPh>
    <rPh sb="22" eb="23">
      <t>ヒト</t>
    </rPh>
    <rPh sb="28" eb="29">
      <t>イ</t>
    </rPh>
    <rPh sb="36" eb="37">
      <t>ア</t>
    </rPh>
    <rPh sb="42" eb="43">
      <t>ミズカ</t>
    </rPh>
    <rPh sb="44" eb="46">
      <t>ジッセン</t>
    </rPh>
    <rPh sb="51" eb="52">
      <t>シン</t>
    </rPh>
    <rPh sb="60" eb="62">
      <t>ヤクワリ</t>
    </rPh>
    <phoneticPr fontId="1"/>
  </si>
  <si>
    <t>≪対応ページ⑥～⑦≫</t>
    <rPh sb="1" eb="3">
      <t>タイオウ</t>
    </rPh>
    <phoneticPr fontId="1"/>
  </si>
  <si>
    <t>潜在数の課題・傾向</t>
    <rPh sb="0" eb="2">
      <t>センザイ</t>
    </rPh>
    <rPh sb="2" eb="3">
      <t>スウ</t>
    </rPh>
    <rPh sb="4" eb="6">
      <t>カダイ</t>
    </rPh>
    <rPh sb="7" eb="9">
      <t>ケイコウ</t>
    </rPh>
    <phoneticPr fontId="1"/>
  </si>
  <si>
    <t>ブレーキパターン</t>
    <phoneticPr fontId="1"/>
  </si>
  <si>
    <t>好転の方法</t>
    <rPh sb="0" eb="2">
      <t>コウテン</t>
    </rPh>
    <rPh sb="3" eb="5">
      <t>ホウホウ</t>
    </rPh>
    <phoneticPr fontId="1"/>
  </si>
  <si>
    <t>自信を揺るがないものとする。
自分の人生を主役で生きる。</t>
    <phoneticPr fontId="1"/>
  </si>
  <si>
    <t>この「自信を揺るがないものとする」テーマを乗り越える為、幼少期から「常に頑張っている自分」を演じ、親に認めてもらうというパターンを、これまで繰り返してきたのではないでしょうか。 
もう、その物語も十分やり尽したと感じることができたなら、次はその「不安」を「自信」に変えて天命へと意識を向けましょう。</t>
    <phoneticPr fontId="1"/>
  </si>
  <si>
    <t>・１番にこだわる（１番でないと愛されない）との思い込み
・劣等感から来る気負い
・自信がなく不安に襲われる 
・自己犠牲になりやすい
・頑固・高慢になりやすい</t>
    <rPh sb="23" eb="24">
      <t>オモ</t>
    </rPh>
    <rPh sb="25" eb="26">
      <t>コ</t>
    </rPh>
    <phoneticPr fontId="1"/>
  </si>
  <si>
    <t>・１番でなくても愛されていることを受け入れる 
・完璧を求める向上心がある
・誰もやっていないことに挑戦する行動力がある 
・率先してリーダーとなる資質がある 
・自分の信念をしっかり持っている</t>
    <rPh sb="17" eb="18">
      <t>ウ</t>
    </rPh>
    <rPh sb="19" eb="20">
      <t>イ</t>
    </rPh>
    <phoneticPr fontId="1"/>
  </si>
  <si>
    <t>他人を優先させ自分を後回しにする。
評価に対して過剰反応する。
または、いざとなるとできない、失敗する現象を生む。</t>
    <phoneticPr fontId="1"/>
  </si>
  <si>
    <t>本質的に「自分が前に出てはいけない」「出来過ぎてはいけない」との思いが無意識に働く為、目の前で電車のドアが閉まって遅刻する、練習ではうまくいくのに本番では力が発揮できないなどのパターンをこれまで繰り返してきたのではないでしょうか？ 
 もう、その物語も十分やり尽したと感じることができたなら、次はその「自己犠牲」を終わりにし、「力があるからこそ人のサポートができる」ことに目覚め、天命へと意識を向けましょう。</t>
    <rPh sb="186" eb="188">
      <t>メザ</t>
    </rPh>
    <phoneticPr fontId="1"/>
  </si>
  <si>
    <t>・責任を背負い込む
・他人を優先させ自分を後回しにする
・感情を抑え込む
・自己犠牲となりやすい 
・本来の自分を発揮する恐れ</t>
    <phoneticPr fontId="1"/>
  </si>
  <si>
    <t>・人の為に尽くすことができる
・人を支えるチカラがある
・人の立場を理解し心をくみ取ることができる 
・相手の幸せを自分の幸せと受け取ることができる
・人はあなたの思いやりに愛を感じている</t>
    <phoneticPr fontId="1"/>
  </si>
  <si>
    <t>インナーチャイルド（幼少期母親との関係性で傷つく）
満たされない親の愛</t>
    <phoneticPr fontId="1"/>
  </si>
  <si>
    <t>「母親との関係性が満たされない」「甘えたいのに甘えられない」そんな感情の記憶から抜け切れず、「いつまでも子供のままでいたい」と、無意識でブレーキを踏むパターンを繰り返してきたのではないでしょうか？  
もうその物語も十分やり尽したと感じることができたなら、次はその「独自な感性」を表現することで「人々の希望となること」に目覚め、天命へと意識を向けましょう。</t>
    <rPh sb="9" eb="10">
      <t>ミ</t>
    </rPh>
    <rPh sb="33" eb="35">
      <t>カンジョウ</t>
    </rPh>
    <rPh sb="36" eb="38">
      <t>キオク</t>
    </rPh>
    <rPh sb="40" eb="41">
      <t>ヌ</t>
    </rPh>
    <rPh sb="42" eb="43">
      <t>キ</t>
    </rPh>
    <rPh sb="64" eb="67">
      <t>ムイシキ</t>
    </rPh>
    <rPh sb="73" eb="74">
      <t>フ</t>
    </rPh>
    <rPh sb="148" eb="150">
      <t>ヒトビト</t>
    </rPh>
    <rPh sb="160" eb="162">
      <t>メザ</t>
    </rPh>
    <phoneticPr fontId="1"/>
  </si>
  <si>
    <t>・目立ちたいけど怖い
・注意力に欠ける（気分にムラがある）
・神経質・内気　　　　　　　　　　　　　　　　　　　　　　　　　　　　　　　　　　　　　　　　　　　　　　　　　　　　　　　　　　　　　　　　　　　　　　　　　　　　　　　　　　　　　　　　　　　　　　　　　　　　　　　　　　　　　　　　　　　　　　　　　　　　　　・大人になりきれない・なりたくない 
・自己否定と自信過剰を繰り返す</t>
    <rPh sb="12" eb="15">
      <t>チュウイリョク</t>
    </rPh>
    <rPh sb="16" eb="17">
      <t>カ</t>
    </rPh>
    <rPh sb="20" eb="22">
      <t>キブン</t>
    </rPh>
    <phoneticPr fontId="1"/>
  </si>
  <si>
    <t>・あなたが楽しいとまわりが歓びに満ちる
・人の心を揺り動かす感性に溢れている
・繊細な感受性で精神性を開く力がある
・好奇心旺盛で可能性を秘めている
・常に新しい可能性にチャレンジする向上心がある</t>
    <phoneticPr fontId="1"/>
  </si>
  <si>
    <t>家庭・両親との間の抑圧。
理想に対しての挫折感。</t>
    <phoneticPr fontId="1"/>
  </si>
  <si>
    <t>真面目で慎重なあなたは親の言うことに従い、規則は守らなければいけない、優等生でなければいけないなど、自分に制限をかけるパターンを繰り返してきたのではないでしょうか？   　　　　　　　　　　　　　　　　　　　もうその物語も十分やり尽したと感じることができたなら、次はその「自分が創りだした枠」から抜け出し、望む現実をカタチに変え、天命へと意識を向けましょう。</t>
    <phoneticPr fontId="1"/>
  </si>
  <si>
    <t>・過度な責任を負う・不安症・心配性
・融通が利かない
・両親からの過度な期待を背負う
・自分の居場所・スペースにこだわる</t>
    <phoneticPr fontId="1"/>
  </si>
  <si>
    <t>・信頼が厚く責任感が強い
・安定・安全を保つことができる
・じっくりと丁寧に取り組むことができる
・真面目で親に安心を与えたいと思っている
・衣食住を大切にできる</t>
    <phoneticPr fontId="1"/>
  </si>
  <si>
    <t>両親との関わりや人間関係において、ドラマティックな現象を生みだし
敢えて不自由を体験する。本当の居場所を外に求める。</t>
    <phoneticPr fontId="1"/>
  </si>
  <si>
    <t>無意識のレベルでは平凡を嫌い、変化を味わいたい為あえて不自由を選択する。
物事が進まない、いざとなると身体を壊すなどのパターンを繰り返してきたのではないでしょうか？  もう、その物語も十分やり尽したと感じることができたなら、次はその不自由との思い込みを「自由」に変え、天命へと意識を向けましょう。</t>
    <rPh sb="121" eb="122">
      <t>オモ</t>
    </rPh>
    <rPh sb="123" eb="124">
      <t>コ</t>
    </rPh>
    <rPh sb="131" eb="132">
      <t>カ</t>
    </rPh>
    <phoneticPr fontId="1"/>
  </si>
  <si>
    <t>・過度なストレスを背負う
・束縛を嫌い外に目が行く
・流行・変化を追い求める
・自ら不自由を選択する</t>
    <phoneticPr fontId="1"/>
  </si>
  <si>
    <t>・あらゆるチャンスを手に入れる行動力を持っている
・既存の常識やルールに囚われない発想力がある
・常に新しい情報を取り入れる柔軟性がある
・元々の自由に気づき変化の扉を開く力がある</t>
    <rPh sb="15" eb="18">
      <t>コウドウリョク</t>
    </rPh>
    <rPh sb="19" eb="20">
      <t>モ</t>
    </rPh>
    <rPh sb="86" eb="87">
      <t>チカラ</t>
    </rPh>
    <phoneticPr fontId="1"/>
  </si>
  <si>
    <t>家庭内の不調和。
安心できる場所・愛情を感じられない。</t>
    <phoneticPr fontId="1"/>
  </si>
  <si>
    <t>人と争うのは苦手。わかりやすい愛の形を求める。
母親との距離感など、常に「愛情」に対して満たされない思いや不安感を体験する、求めるパターンを繰り返してきたのではないでしょうか？
もう、その物語も十分やり尽したと感じることができたなら、あなたは十分愛されていたことを認め、次は自身の持つ「慈しみの心」を「求めるから与えるに変え」、天命へと意識を向けましょう。</t>
    <phoneticPr fontId="1"/>
  </si>
  <si>
    <t>・家庭内の不調和を体験する
・他人と比べ落胆する
・愛情を求める
・自己犠牲・過小評価　
・他人にも完璧を求める</t>
    <phoneticPr fontId="1"/>
  </si>
  <si>
    <t>・家族の絆を深める、調和を保つ役割
・穏やかな雰囲気で、人の心を和ませることができる　　　　　　　　　　　　　　　　　　　　　　　　　　　　　　　　　　　　　　　　　　　　　　　　　　　　　　　　　　　　　　　　　　　　　　　　　　　　　　　　　　　　　　　　　　　　　　　　　　　　　　　　　　　　　　　　　　　　　　　　　　　　　　　　　・愛と受容で人をサポートすることができる
・自分を投げ出してまでも献身的に尽くすことができる
・美しいものやバランスに対する感性が豊か</t>
    <rPh sb="15" eb="17">
      <t>ヤクワリ</t>
    </rPh>
    <rPh sb="19" eb="20">
      <t>オダ</t>
    </rPh>
    <rPh sb="23" eb="26">
      <t>フンイキ</t>
    </rPh>
    <rPh sb="28" eb="29">
      <t>ヒト</t>
    </rPh>
    <rPh sb="30" eb="31">
      <t>ココロ</t>
    </rPh>
    <rPh sb="32" eb="33">
      <t>ナゴ</t>
    </rPh>
    <rPh sb="172" eb="173">
      <t>アイ</t>
    </rPh>
    <rPh sb="174" eb="176">
      <t>ジュヨウ</t>
    </rPh>
    <rPh sb="177" eb="178">
      <t>ヒト</t>
    </rPh>
    <rPh sb="204" eb="207">
      <t>ケンシンテキ</t>
    </rPh>
    <rPh sb="208" eb="209">
      <t>ツ</t>
    </rPh>
    <rPh sb="219" eb="220">
      <t>ウツク</t>
    </rPh>
    <rPh sb="230" eb="231">
      <t>タイ</t>
    </rPh>
    <rPh sb="233" eb="235">
      <t>カンセイ</t>
    </rPh>
    <rPh sb="236" eb="237">
      <t>ユタ</t>
    </rPh>
    <phoneticPr fontId="1"/>
  </si>
  <si>
    <t>両親との間の信頼関係。
精神的自立。</t>
    <phoneticPr fontId="1"/>
  </si>
  <si>
    <t>敏感に人の心を察すること、ものごとの本質を見抜く力に長けているため、上辺だけの人間関係や出来事に不信感を抱きやすく、他人に心を開くこと、人と深く関わることをできるだけ避けるパターンを繰り返してきたのではないでしょうか？
孤独を抱えながら信頼できる人を求める物語を十分やり尽したと感じことができたなら、その「不信感」を「自己信頼」に変え、天命へと意識を向けましょう。</t>
    <phoneticPr fontId="1"/>
  </si>
  <si>
    <t>・人間関係の怖れ・孤独感
・一人で何でも抱え込む
・繊細・神経質
・プライドが高く妥協しない・弱音・本音がはけない（ポーカーフェイス）</t>
    <phoneticPr fontId="1"/>
  </si>
  <si>
    <t>・上辺だけの付き合いが苦手
・本質的なものを見抜くことができる
・内なる声の導きに従い、繊細さな感性を表現できる
・独自な世界を大切にする職人気質
・精神的に自立している</t>
    <rPh sb="22" eb="23">
      <t>ミ</t>
    </rPh>
    <rPh sb="23" eb="24">
      <t>ヌ</t>
    </rPh>
    <rPh sb="44" eb="46">
      <t>センサイ</t>
    </rPh>
    <rPh sb="48" eb="50">
      <t>カンセイ</t>
    </rPh>
    <rPh sb="51" eb="53">
      <t>ヒョウゲン</t>
    </rPh>
    <phoneticPr fontId="1"/>
  </si>
  <si>
    <t>お金や名声・権力への抑圧、嫌悪感。
頑張らないと豊かになれない。</t>
    <phoneticPr fontId="1"/>
  </si>
  <si>
    <t>物資的なもの・お金への執着、身体を酷使しながら頑張らないと豊かさは手にできない。　だから常に前向きに前進あるのみ。
どんな困難も、努力と根性で乗り切るパターンをこれまでずっと繰り返してきたのではないでしょうか？
身体が音を上げるまで頑張り続ける物語をやり尽したと感じることができたなら、その「パワフルなエネルギー」を豊かさを生み出す力に変え、天命へと意識を向けましょう。</t>
    <rPh sb="61" eb="63">
      <t>コンナン</t>
    </rPh>
    <rPh sb="158" eb="159">
      <t>ユタ</t>
    </rPh>
    <rPh sb="162" eb="163">
      <t>ウ</t>
    </rPh>
    <rPh sb="164" eb="165">
      <t>ダ</t>
    </rPh>
    <phoneticPr fontId="1"/>
  </si>
  <si>
    <t>・豊かさへの怖れ
・執着・権力・名声への抵抗・執着
・気合と根性
・休むことに罪悪感
・重責を担う・自分に課題を課す</t>
    <phoneticPr fontId="1"/>
  </si>
  <si>
    <t>・豊かさを当たり前にし、世の中に循環させる力がある
・人望が厚く人をまとめる力がある
・困難にひるまず立ち向かう精神力がある　　　　　　　　　　　　　　　　　　　　　　　　　　　　　　　　　　　　　　　　　　　　　　　　　　　　　　　　　　　　　　　　　　　　　　　　　　　　　　　　　　　　　　　　　　　　　　　　　　　　　　　　　　　　　　　　　　　　　　　　　　　　　　　　　　　　　　　　　　　　　　　　　　　　　　　　・想いを現実にする実行力がある　　　　　　　　　　　　　　　・チャンスをつかみ拡大させる力がある</t>
    <rPh sb="30" eb="31">
      <t>アツ</t>
    </rPh>
    <rPh sb="32" eb="33">
      <t>ヒト</t>
    </rPh>
    <rPh sb="253" eb="255">
      <t>カクダイ</t>
    </rPh>
    <rPh sb="258" eb="259">
      <t>チカラ</t>
    </rPh>
    <phoneticPr fontId="1"/>
  </si>
  <si>
    <t>居場所がない。罪悪感。</t>
  </si>
  <si>
    <t>幼少期、大人びた感情・思考が周りと溶け込めない虚しさや疎外感を感じやすい。
自分の本当の居場所や真の理解者を家族以外に求めるパターンを繰り返してきたのではないでしょうか？
「無邪気に親に甘えられない、本心を言えない。」そんな物語を十分やり尽したと感じることができたなら、その「罪悪感」を「高い知恵」に変え、天命へと意識を向けましょう。</t>
    <phoneticPr fontId="1"/>
  </si>
  <si>
    <t>・白か黒か正しさを求める
・理想と現実のギャップに悩む
・感情をオープンにするのをためらう
・疎外感を感じやすい
・罪悪感・自己否定を繰り返す</t>
    <phoneticPr fontId="1"/>
  </si>
  <si>
    <t>・中立に立って物事を見ることができる
・高い精神性を持つ平和主義者
・相手の想いや立場を思いやることができる
・迷える人の理解者となれる
・自己犠牲となってまでも弱い立場の人を救うことができる</t>
    <phoneticPr fontId="1"/>
  </si>
  <si>
    <t>色々なものを敏感に感じる。周囲から理解されない。アンチスピリチュアル。
周りに影響されやすい。自信がない。</t>
    <rPh sb="36" eb="37">
      <t>マワ</t>
    </rPh>
    <rPh sb="39" eb="41">
      <t>エイキョウ</t>
    </rPh>
    <rPh sb="47" eb="49">
      <t>ジシン</t>
    </rPh>
    <phoneticPr fontId="1"/>
  </si>
  <si>
    <t>見えない世界の存在を自分の意思とは別に感じる。他の人と感性が違う。現実的な物事に向き合うことが苦手、どこかつかみどころがないと思われるなどのパターンを繰り返してきたのではないでしょうか？　　　　　　　　　　　　　　　　　　　　　　　　　　　　　　　　　　　　　　　　　　　　　　　　　　　　　　　　　　　　　豊かな感受性を理解されず孤独を味わう。もうそんな物語を十分やり尽したと感じることができたなら、その「繊細な感性」を現実的なスピリチュアル能力に変え、天命へと意識を向けましょう。</t>
    <rPh sb="204" eb="206">
      <t>センサイ</t>
    </rPh>
    <rPh sb="207" eb="209">
      <t>カンセイ</t>
    </rPh>
    <phoneticPr fontId="1"/>
  </si>
  <si>
    <t>・心に不安を感じやすい
・理解されない孤独感を感じる
・虚無感を感じる
・霊感・直観が鋭い　　　　　　　　　　　　　　　　　　　　　　　　　　　　　　　　　　　　　　　　　　　　　　　　　　　　　　　　　　　　　　　　　　　　　　　　　　　　　　　　　　　　　　　　　　　　　　　　　　　　　　　　　　　　　　　　　　　　　　　・気分にムラがある</t>
    <phoneticPr fontId="1"/>
  </si>
  <si>
    <t>・見えない世界・精神的な世界を感じることができる　　　　　　　　　　　　　　　　　　　　　　　　　　　　　　　　　　　　　　　　　　　　　　　　　　　　　　　　　　　　　　　　　　　　　　　　　　　　　　　　　　　　　　　　　　　　　　　　　　・神秘的なものや第六感に従いチャンスを掴むことができる
・自分を活かす道を独自に見出すことができる
・現実的なものを見る力がある
・感性やイメージを自由に表現できる</t>
    <rPh sb="130" eb="131">
      <t>ダイ</t>
    </rPh>
    <rPh sb="134" eb="135">
      <t>シタガ</t>
    </rPh>
    <rPh sb="141" eb="142">
      <t>ツカ</t>
    </rPh>
    <rPh sb="159" eb="161">
      <t>ドクジ</t>
    </rPh>
    <rPh sb="188" eb="190">
      <t>カンセイ</t>
    </rPh>
    <rPh sb="196" eb="198">
      <t>ジユウ</t>
    </rPh>
    <rPh sb="199" eb="201">
      <t>ヒョウゲン</t>
    </rPh>
    <phoneticPr fontId="1"/>
  </si>
  <si>
    <t>存在を抑える。目立たないようにする。</t>
  </si>
  <si>
    <t>何を発言しても、どう振る舞っても存在自体が目立ってしまう。また自分自身、大舞台で活躍してこそ本領を発揮できることを知っているのに、周りから理解されない、邪魔されるなどのパターンを繰り返してきたのではないでしょうか？
 孤独を存分に味わい、見えない力と戦う。もうそんな物語を十分やり尽したと感じることができたなら、その「強固な行動力」を人に還元するために使う、天命へと意識を向けましょう。</t>
    <phoneticPr fontId="1"/>
  </si>
  <si>
    <t>・目立つことへの怖れ
・現実的なものに縛られる
・自信喪失・プライドが傷つく
・こだわりが強い
・両親・家族との行き違い</t>
    <phoneticPr fontId="1"/>
  </si>
  <si>
    <t>・世の中に変革を起す役割がある
・時間・空間を超えて活動する行動力がある　
・試されても揺るがない信念を持つことができる
・妥協することのない理想・想いがある
・大胆に行動・発信するカリスマ性がある</t>
    <rPh sb="17" eb="19">
      <t>ジカン</t>
    </rPh>
    <phoneticPr fontId="1"/>
  </si>
  <si>
    <t>≪対応ページ⑨≫</t>
    <rPh sb="1" eb="3">
      <t>タイオウ</t>
    </rPh>
    <phoneticPr fontId="1"/>
  </si>
  <si>
    <t>波の動き</t>
    <rPh sb="0" eb="1">
      <t>ナミ</t>
    </rPh>
    <rPh sb="2" eb="3">
      <t>ウゴ</t>
    </rPh>
    <phoneticPr fontId="1"/>
  </si>
  <si>
    <t>始まり</t>
    <rPh sb="0" eb="1">
      <t>ハジ</t>
    </rPh>
    <phoneticPr fontId="1"/>
  </si>
  <si>
    <t>起業・開業・習い事など新しいステージのはじまりの年</t>
    <phoneticPr fontId="1"/>
  </si>
  <si>
    <t>協調</t>
    <rPh sb="0" eb="2">
      <t>キョウチョウ</t>
    </rPh>
    <phoneticPr fontId="1"/>
  </si>
  <si>
    <t>人との繫がりを深め、しっかり根を張らせる年</t>
    <phoneticPr fontId="1"/>
  </si>
  <si>
    <t>楽しいことと繋がりやすく、小さな変化が訪れる年</t>
    <phoneticPr fontId="1"/>
  </si>
  <si>
    <t>安定</t>
    <rPh sb="0" eb="2">
      <t>アンテイ</t>
    </rPh>
    <phoneticPr fontId="1"/>
  </si>
  <si>
    <t>安定という名の現状維持の年。しっかり地固めにあてる年</t>
    <phoneticPr fontId="1"/>
  </si>
  <si>
    <t>変化</t>
    <rPh sb="0" eb="2">
      <t>ヘンカ</t>
    </rPh>
    <phoneticPr fontId="1"/>
  </si>
  <si>
    <t>新しい情報・人に恵まれ、急激に変化が訪れる年</t>
    <phoneticPr fontId="1"/>
  </si>
  <si>
    <t>愛情</t>
    <rPh sb="0" eb="2">
      <t>アイジョウ</t>
    </rPh>
    <phoneticPr fontId="1"/>
  </si>
  <si>
    <t>身近な人間関係・絆、愛情を確かめる年</t>
    <rPh sb="10" eb="12">
      <t>アイジョウ</t>
    </rPh>
    <phoneticPr fontId="1"/>
  </si>
  <si>
    <t>休息</t>
    <rPh sb="0" eb="2">
      <t>キュウソク</t>
    </rPh>
    <phoneticPr fontId="1"/>
  </si>
  <si>
    <t>内面を充実させ、客観的に自分と向き合う、学びを深める年</t>
    <rPh sb="20" eb="21">
      <t>マナ</t>
    </rPh>
    <rPh sb="23" eb="24">
      <t>フカ</t>
    </rPh>
    <phoneticPr fontId="1"/>
  </si>
  <si>
    <t>充実</t>
    <rPh sb="0" eb="2">
      <t>ジュウジツ</t>
    </rPh>
    <phoneticPr fontId="1"/>
  </si>
  <si>
    <t>願望達成・これまでの成果を受け取りわかち合う、多幸感を味わう年</t>
    <rPh sb="23" eb="24">
      <t>タ</t>
    </rPh>
    <rPh sb="25" eb="26">
      <t>カン</t>
    </rPh>
    <rPh sb="27" eb="28">
      <t>アジ</t>
    </rPh>
    <phoneticPr fontId="1"/>
  </si>
  <si>
    <t>完結</t>
    <rPh sb="0" eb="2">
      <t>カンケツ</t>
    </rPh>
    <phoneticPr fontId="1"/>
  </si>
  <si>
    <t>人生の転換期・次のステージに向けて不要なものを手放す年</t>
    <phoneticPr fontId="1"/>
  </si>
  <si>
    <t>動揺</t>
    <rPh sb="0" eb="2">
      <t>ドウヨウ</t>
    </rPh>
    <phoneticPr fontId="1"/>
  </si>
  <si>
    <t>人生を見つめ直す出来事が起きやすいターニングポイントとなる年</t>
    <phoneticPr fontId="1"/>
  </si>
  <si>
    <t>激動</t>
    <rPh sb="0" eb="2">
      <t>ゲキドウ</t>
    </rPh>
    <phoneticPr fontId="1"/>
  </si>
  <si>
    <t>自分の力ではコントロールできない出来事が起きやすい地固めの年</t>
    <phoneticPr fontId="1"/>
  </si>
  <si>
    <t>大波乱</t>
    <rPh sb="0" eb="3">
      <t>ダイハラン</t>
    </rPh>
    <phoneticPr fontId="1"/>
  </si>
  <si>
    <t>精神面・物資面の両面から問題に見舞われやすい激変の年</t>
    <phoneticPr fontId="1"/>
  </si>
  <si>
    <t>月ごとの運気</t>
    <rPh sb="0" eb="1">
      <t>ツキ</t>
    </rPh>
    <rPh sb="4" eb="6">
      <t>ウンキ</t>
    </rPh>
    <phoneticPr fontId="1"/>
  </si>
  <si>
    <t>新たなことにチャレンジする・計画を実行する</t>
    <rPh sb="14" eb="16">
      <t>ケイカク</t>
    </rPh>
    <rPh sb="17" eb="19">
      <t>ジッコウ</t>
    </rPh>
    <phoneticPr fontId="1"/>
  </si>
  <si>
    <t>計画を振り返り、人との絆を深める・人のサポートをする</t>
    <rPh sb="17" eb="18">
      <t>ヒト</t>
    </rPh>
    <phoneticPr fontId="1"/>
  </si>
  <si>
    <t>新しいアイディア、閃きに従ってみる・楽しい人と逢う</t>
    <rPh sb="18" eb="19">
      <t>タノ</t>
    </rPh>
    <rPh sb="21" eb="22">
      <t>ヒト</t>
    </rPh>
    <rPh sb="23" eb="24">
      <t>ア</t>
    </rPh>
    <phoneticPr fontId="1"/>
  </si>
  <si>
    <t>現実をしっかり見つめ、現状を受け入れる・自分のスペースを保つ</t>
    <rPh sb="20" eb="22">
      <t>ジブン</t>
    </rPh>
    <rPh sb="28" eb="29">
      <t>タモ</t>
    </rPh>
    <phoneticPr fontId="1"/>
  </si>
  <si>
    <t>新しい変化を取り入れスピードにのる・交流の場に出向く</t>
    <rPh sb="18" eb="20">
      <t>コウリュウ</t>
    </rPh>
    <rPh sb="21" eb="22">
      <t>バ</t>
    </rPh>
    <rPh sb="23" eb="25">
      <t>デム</t>
    </rPh>
    <phoneticPr fontId="1"/>
  </si>
  <si>
    <t>身近な人間関係に目を向け愛情を確かめる・自分を大切にする</t>
    <rPh sb="20" eb="22">
      <t>ジブン</t>
    </rPh>
    <rPh sb="23" eb="25">
      <t>タイセツ</t>
    </rPh>
    <phoneticPr fontId="1"/>
  </si>
  <si>
    <t>専門的な知識を学び、インプットにあてる・本を読む</t>
    <rPh sb="20" eb="21">
      <t>ホン</t>
    </rPh>
    <rPh sb="22" eb="23">
      <t>ヨ</t>
    </rPh>
    <phoneticPr fontId="1"/>
  </si>
  <si>
    <t>思いっきり豊かさ、充実を味わう・喜んで受け取る</t>
    <phoneticPr fontId="1"/>
  </si>
  <si>
    <t>不要なもの、古いと思うものを手放す・データを整理する</t>
    <rPh sb="22" eb="24">
      <t>セイリ</t>
    </rPh>
    <phoneticPr fontId="1"/>
  </si>
  <si>
    <t>人生を揺り動かすようなターニングポイント（人間関係を見つめ直す）</t>
  </si>
  <si>
    <t>思わぬ災難や問題が起きやすい（足元をしっかりさせる）</t>
  </si>
  <si>
    <t>頭にあることをスタートさせる・行動してみる</t>
    <rPh sb="0" eb="1">
      <t>アタマ</t>
    </rPh>
    <rPh sb="15" eb="17">
      <t>コウドウ</t>
    </rPh>
    <phoneticPr fontId="1"/>
  </si>
  <si>
    <t>ペースダウンで足場を固め、土台を安定させる</t>
    <phoneticPr fontId="1"/>
  </si>
  <si>
    <t>自分を表現するクリエイティブな活動をする・我慢を止めてみる</t>
    <rPh sb="21" eb="23">
      <t>ガマン</t>
    </rPh>
    <rPh sb="24" eb="25">
      <t>ヤ</t>
    </rPh>
    <phoneticPr fontId="1"/>
  </si>
  <si>
    <t>コツコツと当たり前の事を淡々とこなす・丁寧に暮らしてみる</t>
    <rPh sb="19" eb="21">
      <t>テイネイ</t>
    </rPh>
    <rPh sb="22" eb="23">
      <t>ク</t>
    </rPh>
    <phoneticPr fontId="1"/>
  </si>
  <si>
    <t>外に向かって発信する・人に想いを聴いてもらう</t>
    <rPh sb="11" eb="12">
      <t>ヒト</t>
    </rPh>
    <rPh sb="13" eb="14">
      <t>オモ</t>
    </rPh>
    <rPh sb="16" eb="17">
      <t>キ</t>
    </rPh>
    <phoneticPr fontId="1"/>
  </si>
  <si>
    <t>愛ある選択をする・人に感謝する</t>
    <phoneticPr fontId="1"/>
  </si>
  <si>
    <t>少し歩みを止めて自分の内側と向き合ってみる・一人の時間を持つ</t>
    <rPh sb="22" eb="24">
      <t>ヒトリ</t>
    </rPh>
    <rPh sb="25" eb="27">
      <t>ジカン</t>
    </rPh>
    <rPh sb="28" eb="29">
      <t>モ</t>
    </rPh>
    <phoneticPr fontId="1"/>
  </si>
  <si>
    <t>成果を手にし、身近な人に感謝してわかち合う</t>
  </si>
  <si>
    <t>次のステージに向けて準備しつつスタートし始める</t>
  </si>
  <si>
    <t>≪対応ページ⑧≫</t>
    <rPh sb="1" eb="3">
      <t>タイオウ</t>
    </rPh>
    <phoneticPr fontId="1"/>
  </si>
  <si>
    <t>捉え方、傾向</t>
    <rPh sb="0" eb="1">
      <t>トラ</t>
    </rPh>
    <rPh sb="2" eb="3">
      <t>カタ</t>
    </rPh>
    <rPh sb="4" eb="6">
      <t>ケイコウ</t>
    </rPh>
    <phoneticPr fontId="1"/>
  </si>
  <si>
    <t>適職</t>
    <rPh sb="0" eb="2">
      <t>テキショク</t>
    </rPh>
    <phoneticPr fontId="1"/>
  </si>
  <si>
    <t>中　庸</t>
    <rPh sb="0" eb="1">
      <t>ナカ</t>
    </rPh>
    <rPh sb="2" eb="3">
      <t>ヨウ</t>
    </rPh>
    <phoneticPr fontId="1"/>
  </si>
  <si>
    <t>外側・内側（行動と感情）のバランスを重視し、安定を保ちます。</t>
    <phoneticPr fontId="1"/>
  </si>
  <si>
    <t>創造</t>
    <rPh sb="0" eb="1">
      <t>キズ</t>
    </rPh>
    <rPh sb="1" eb="2">
      <t>ヅクリ</t>
    </rPh>
    <phoneticPr fontId="1"/>
  </si>
  <si>
    <t>新たなものを生み出すエネルギー</t>
    <rPh sb="0" eb="1">
      <t>アラ</t>
    </rPh>
    <rPh sb="6" eb="7">
      <t>ウ</t>
    </rPh>
    <rPh sb="8" eb="9">
      <t>ダ</t>
    </rPh>
    <phoneticPr fontId="1"/>
  </si>
  <si>
    <t>創業型企業、オーナー　
独立起業家、個人事業主</t>
    <rPh sb="0" eb="2">
      <t>ソウギョウ</t>
    </rPh>
    <rPh sb="2" eb="3">
      <t>ガタ</t>
    </rPh>
    <rPh sb="3" eb="5">
      <t>キギョウ</t>
    </rPh>
    <rPh sb="12" eb="14">
      <t>ドクリツ</t>
    </rPh>
    <rPh sb="14" eb="16">
      <t>キギョウ</t>
    </rPh>
    <rPh sb="16" eb="17">
      <t>イエ</t>
    </rPh>
    <rPh sb="18" eb="20">
      <t>コジン</t>
    </rPh>
    <rPh sb="20" eb="23">
      <t>ジギョウヌシ</t>
    </rPh>
    <phoneticPr fontId="1"/>
  </si>
  <si>
    <t>内側を満たすことにエネルギーを使い、サポートすることで人の役に立ちます。</t>
    <phoneticPr fontId="1"/>
  </si>
  <si>
    <t>マネージャー、秘書
コーディネーター、プロデューサー
（女性を相手にした仕事）</t>
    <rPh sb="7" eb="9">
      <t>ヒショ</t>
    </rPh>
    <rPh sb="28" eb="30">
      <t>ジョセイ</t>
    </rPh>
    <rPh sb="31" eb="33">
      <t>アイテ</t>
    </rPh>
    <rPh sb="36" eb="38">
      <t>シゴト</t>
    </rPh>
    <phoneticPr fontId="1"/>
  </si>
  <si>
    <t>外側にエネルギーを発散させ、行動することで人に影響を与えます。</t>
    <phoneticPr fontId="1"/>
  </si>
  <si>
    <t>クリエイティブ、アート　歌・ダンス、
表現、流通（個性を発揮できる仕事）</t>
    <rPh sb="12" eb="13">
      <t>ウタ</t>
    </rPh>
    <rPh sb="19" eb="21">
      <t>ヒョウゲン</t>
    </rPh>
    <rPh sb="22" eb="24">
      <t>リュウツウ</t>
    </rPh>
    <rPh sb="25" eb="27">
      <t>コセイ</t>
    </rPh>
    <rPh sb="28" eb="30">
      <t>ハッキ</t>
    </rPh>
    <rPh sb="33" eb="35">
      <t>シゴト</t>
    </rPh>
    <phoneticPr fontId="1"/>
  </si>
  <si>
    <t>調和を重んじながら繋がるエネルギー</t>
    <rPh sb="0" eb="2">
      <t>チョウワ</t>
    </rPh>
    <rPh sb="3" eb="4">
      <t>オモ</t>
    </rPh>
    <rPh sb="9" eb="10">
      <t>ツナ</t>
    </rPh>
    <phoneticPr fontId="1"/>
  </si>
  <si>
    <t>経理、事務、金融関係
公務員、先生、　
（堅実で資格重視な仕事）</t>
    <rPh sb="0" eb="2">
      <t>ケイリ</t>
    </rPh>
    <rPh sb="3" eb="5">
      <t>ジム</t>
    </rPh>
    <rPh sb="6" eb="8">
      <t>キンユウ</t>
    </rPh>
    <rPh sb="8" eb="10">
      <t>カンケイ</t>
    </rPh>
    <rPh sb="11" eb="14">
      <t>コウムイン</t>
    </rPh>
    <rPh sb="15" eb="17">
      <t>センセイ</t>
    </rPh>
    <rPh sb="21" eb="23">
      <t>ケンジツ</t>
    </rPh>
    <rPh sb="24" eb="26">
      <t>シカク</t>
    </rPh>
    <rPh sb="26" eb="28">
      <t>ジュウシ</t>
    </rPh>
    <rPh sb="29" eb="31">
      <t>シゴト</t>
    </rPh>
    <phoneticPr fontId="1"/>
  </si>
  <si>
    <t>管理されないフルコミッションの仕事
人と関わり、情報を拡大させる自由業</t>
    <rPh sb="0" eb="2">
      <t>カンリ</t>
    </rPh>
    <rPh sb="15" eb="17">
      <t>シゴト</t>
    </rPh>
    <rPh sb="18" eb="19">
      <t>ヒト</t>
    </rPh>
    <rPh sb="20" eb="21">
      <t>カカ</t>
    </rPh>
    <rPh sb="24" eb="26">
      <t>ジョウホウ</t>
    </rPh>
    <rPh sb="27" eb="29">
      <t>カクダイ</t>
    </rPh>
    <rPh sb="32" eb="35">
      <t>ジユウギョウ</t>
    </rPh>
    <phoneticPr fontId="1"/>
  </si>
  <si>
    <t>美容、セラピスト、保育士、講師
（女性を相手にした仕事）</t>
    <rPh sb="0" eb="2">
      <t>ビヨウ</t>
    </rPh>
    <rPh sb="9" eb="12">
      <t>ホイクシ</t>
    </rPh>
    <rPh sb="13" eb="15">
      <t>コウシ</t>
    </rPh>
    <rPh sb="17" eb="19">
      <t>ジョセイ</t>
    </rPh>
    <rPh sb="20" eb="22">
      <t>アイテ</t>
    </rPh>
    <rPh sb="25" eb="27">
      <t>シゴト</t>
    </rPh>
    <phoneticPr fontId="1"/>
  </si>
  <si>
    <t>総合的に物事を捉える思慮深いエネルギー</t>
    <rPh sb="0" eb="3">
      <t>ソウゴウテキ</t>
    </rPh>
    <rPh sb="4" eb="6">
      <t>モノゴト</t>
    </rPh>
    <rPh sb="7" eb="8">
      <t>トラ</t>
    </rPh>
    <rPh sb="10" eb="12">
      <t>シリョ</t>
    </rPh>
    <rPh sb="12" eb="13">
      <t>ブカ</t>
    </rPh>
    <phoneticPr fontId="1"/>
  </si>
  <si>
    <t>研究者、コンサルタント
スペシャリスト、後方専門</t>
    <rPh sb="0" eb="3">
      <t>ケンキュウシャ</t>
    </rPh>
    <rPh sb="20" eb="22">
      <t>コウホウ</t>
    </rPh>
    <rPh sb="22" eb="24">
      <t>センモン</t>
    </rPh>
    <phoneticPr fontId="1"/>
  </si>
  <si>
    <t>建設業、開発、組織起業
チームリーダー、創始者
（チームで成し遂げる仕事）</t>
    <rPh sb="0" eb="3">
      <t>ケンセツギョウ</t>
    </rPh>
    <rPh sb="4" eb="6">
      <t>カイハツ</t>
    </rPh>
    <rPh sb="7" eb="9">
      <t>ソシキ</t>
    </rPh>
    <rPh sb="9" eb="11">
      <t>キギョウ</t>
    </rPh>
    <rPh sb="20" eb="23">
      <t>ソウシシャ</t>
    </rPh>
    <rPh sb="29" eb="30">
      <t>ナ</t>
    </rPh>
    <rPh sb="31" eb="32">
      <t>ト</t>
    </rPh>
    <rPh sb="34" eb="36">
      <t>シゴト</t>
    </rPh>
    <phoneticPr fontId="1"/>
  </si>
  <si>
    <t>医師、薬剤師、セラピスト
カウンセラー、教育者、医療従事者
（人のために尽くしたい人道支援の仕事）</t>
    <rPh sb="0" eb="2">
      <t>イシ</t>
    </rPh>
    <rPh sb="3" eb="6">
      <t>ヤクザイシ</t>
    </rPh>
    <rPh sb="20" eb="23">
      <t>キョウイクシャ</t>
    </rPh>
    <rPh sb="24" eb="26">
      <t>イリョウ</t>
    </rPh>
    <rPh sb="26" eb="29">
      <t>ジュウジシャ</t>
    </rPh>
    <rPh sb="31" eb="32">
      <t>ヒト</t>
    </rPh>
    <rPh sb="36" eb="37">
      <t>ツ</t>
    </rPh>
    <rPh sb="41" eb="43">
      <t>ジンドウ</t>
    </rPh>
    <rPh sb="43" eb="45">
      <t>シエン</t>
    </rPh>
    <rPh sb="46" eb="48">
      <t>シゴト</t>
    </rPh>
    <phoneticPr fontId="1"/>
  </si>
  <si>
    <t>心理カウンセラー、セラピスト
デザイナー、クリエイター
（精神性や感性を活かす仕事）</t>
    <rPh sb="0" eb="2">
      <t>シンリ</t>
    </rPh>
    <rPh sb="29" eb="32">
      <t>セイシンセイ</t>
    </rPh>
    <rPh sb="33" eb="35">
      <t>カンセイ</t>
    </rPh>
    <rPh sb="36" eb="37">
      <t>イ</t>
    </rPh>
    <rPh sb="39" eb="41">
      <t>シゴト</t>
    </rPh>
    <phoneticPr fontId="1"/>
  </si>
  <si>
    <t>精神世界を学び、あらゆる分野で率先し人を導く</t>
    <rPh sb="0" eb="2">
      <t>セイシン</t>
    </rPh>
    <rPh sb="2" eb="4">
      <t>セカイ</t>
    </rPh>
    <rPh sb="5" eb="6">
      <t>マナ</t>
    </rPh>
    <rPh sb="12" eb="14">
      <t>ブンヤ</t>
    </rPh>
    <rPh sb="15" eb="17">
      <t>ソッセン</t>
    </rPh>
    <rPh sb="18" eb="19">
      <t>ヒト</t>
    </rPh>
    <rPh sb="20" eb="21">
      <t>ミチビ</t>
    </rPh>
    <phoneticPr fontId="1"/>
  </si>
  <si>
    <t>役割</t>
    <rPh sb="0" eb="2">
      <t>ヤクワリ</t>
    </rPh>
    <phoneticPr fontId="1"/>
  </si>
  <si>
    <t>リーダー</t>
    <phoneticPr fontId="1"/>
  </si>
  <si>
    <t>総合的にまとめるリーダー・管理職</t>
    <rPh sb="0" eb="3">
      <t>ソウゴウテキ</t>
    </rPh>
    <rPh sb="13" eb="15">
      <t>カンリ</t>
    </rPh>
    <rPh sb="15" eb="16">
      <t>ショク</t>
    </rPh>
    <phoneticPr fontId="1"/>
  </si>
  <si>
    <t>感情型</t>
    <rPh sb="0" eb="3">
      <t>カンジョウガタ</t>
    </rPh>
    <phoneticPr fontId="1"/>
  </si>
  <si>
    <t>判断の基準が感情優先・右脳型</t>
    <rPh sb="0" eb="2">
      <t>ハンダン</t>
    </rPh>
    <rPh sb="3" eb="5">
      <t>キジュン</t>
    </rPh>
    <rPh sb="6" eb="8">
      <t>カンジョウ</t>
    </rPh>
    <rPh sb="8" eb="10">
      <t>ユウセン</t>
    </rPh>
    <rPh sb="11" eb="14">
      <t>ウノウガタ</t>
    </rPh>
    <phoneticPr fontId="1"/>
  </si>
  <si>
    <t>サポートしてくれる２
同じ外向傾向で成長度が一緒の３、穏やかな６</t>
    <rPh sb="11" eb="12">
      <t>オナ</t>
    </rPh>
    <rPh sb="13" eb="15">
      <t>ガイコウ</t>
    </rPh>
    <rPh sb="15" eb="17">
      <t>ケイコウ</t>
    </rPh>
    <rPh sb="18" eb="20">
      <t>セイチョウ</t>
    </rPh>
    <rPh sb="20" eb="21">
      <t>ド</t>
    </rPh>
    <rPh sb="22" eb="24">
      <t>イッショ</t>
    </rPh>
    <rPh sb="27" eb="28">
      <t>オダ</t>
    </rPh>
    <phoneticPr fontId="1"/>
  </si>
  <si>
    <t>サポーター</t>
    <phoneticPr fontId="1"/>
  </si>
  <si>
    <t>コツコツ仕事をこなす後方・技術者</t>
    <rPh sb="4" eb="6">
      <t>シゴト</t>
    </rPh>
    <rPh sb="10" eb="12">
      <t>コウホウ</t>
    </rPh>
    <rPh sb="13" eb="16">
      <t>ギジュツシャ</t>
    </rPh>
    <phoneticPr fontId="1"/>
  </si>
  <si>
    <t>理論型</t>
    <rPh sb="0" eb="2">
      <t>リロン</t>
    </rPh>
    <rPh sb="2" eb="3">
      <t>ガタ</t>
    </rPh>
    <phoneticPr fontId="1"/>
  </si>
  <si>
    <t>理論やデータ、経験重視・左脳型</t>
    <rPh sb="0" eb="2">
      <t>リロン</t>
    </rPh>
    <rPh sb="7" eb="9">
      <t>ケイケン</t>
    </rPh>
    <rPh sb="9" eb="11">
      <t>ジュウシ</t>
    </rPh>
    <rPh sb="12" eb="15">
      <t>サノウガタ</t>
    </rPh>
    <phoneticPr fontId="1"/>
  </si>
  <si>
    <t>リーダータイプの１
控えめで現実的な４、６</t>
    <rPh sb="10" eb="11">
      <t>ヒカ</t>
    </rPh>
    <rPh sb="14" eb="17">
      <t>ゲンジツテキ</t>
    </rPh>
    <phoneticPr fontId="1"/>
  </si>
  <si>
    <t>コミュニケーター</t>
    <phoneticPr fontId="1"/>
  </si>
  <si>
    <t>まずは行動・実践の開拓・営業</t>
    <rPh sb="3" eb="5">
      <t>コウドウ</t>
    </rPh>
    <rPh sb="6" eb="8">
      <t>ジッセン</t>
    </rPh>
    <rPh sb="9" eb="11">
      <t>カイタク</t>
    </rPh>
    <rPh sb="12" eb="14">
      <t>エイギョウ</t>
    </rPh>
    <phoneticPr fontId="1"/>
  </si>
  <si>
    <t>行動的で、積極的な１、８</t>
    <rPh sb="0" eb="3">
      <t>コウドウテキ</t>
    </rPh>
    <rPh sb="5" eb="8">
      <t>セッキョクテキ</t>
    </rPh>
    <phoneticPr fontId="1"/>
  </si>
  <si>
    <t>内向傾向で調和を大切にする２、４、６</t>
    <rPh sb="0" eb="2">
      <t>ナイコウ</t>
    </rPh>
    <rPh sb="2" eb="4">
      <t>ケイコウ</t>
    </rPh>
    <rPh sb="5" eb="7">
      <t>チョウワ</t>
    </rPh>
    <rPh sb="8" eb="10">
      <t>タイセツ</t>
    </rPh>
    <phoneticPr fontId="1"/>
  </si>
  <si>
    <t>サポートしてくれる２、
発展傾向、自由を求める３、５</t>
    <rPh sb="12" eb="14">
      <t>ハッテン</t>
    </rPh>
    <rPh sb="14" eb="16">
      <t>ケイコウ</t>
    </rPh>
    <rPh sb="17" eb="19">
      <t>ジユウ</t>
    </rPh>
    <rPh sb="20" eb="21">
      <t>モト</t>
    </rPh>
    <phoneticPr fontId="1"/>
  </si>
  <si>
    <t>養育対象としての３、
奉仕的で高い理想が合う９</t>
    <rPh sb="0" eb="2">
      <t>ヨウイク</t>
    </rPh>
    <rPh sb="2" eb="4">
      <t>タイショウ</t>
    </rPh>
    <rPh sb="11" eb="14">
      <t>ホウシテキ</t>
    </rPh>
    <rPh sb="15" eb="16">
      <t>タカ</t>
    </rPh>
    <rPh sb="17" eb="19">
      <t>リソウ</t>
    </rPh>
    <rPh sb="20" eb="21">
      <t>ア</t>
    </rPh>
    <phoneticPr fontId="1"/>
  </si>
  <si>
    <t>マイペースを好む４、７
（お互いがテリトリーを尊重し合える）</t>
    <rPh sb="6" eb="7">
      <t>コノ</t>
    </rPh>
    <rPh sb="14" eb="15">
      <t>タガ</t>
    </rPh>
    <rPh sb="23" eb="25">
      <t>ソンチョウ</t>
    </rPh>
    <rPh sb="26" eb="27">
      <t>ア</t>
    </rPh>
    <phoneticPr fontId="1"/>
  </si>
  <si>
    <t>ムードメーカー</t>
    <phoneticPr fontId="1"/>
  </si>
  <si>
    <t>ブレーキ役、調和、
サポート役の２、４、７</t>
    <rPh sb="4" eb="5">
      <t>ヤク</t>
    </rPh>
    <rPh sb="6" eb="8">
      <t>チョウワ</t>
    </rPh>
    <rPh sb="14" eb="15">
      <t>ヤク</t>
    </rPh>
    <phoneticPr fontId="1"/>
  </si>
  <si>
    <t>温厚で物静かな２、
高い理想、精神の成長度の７</t>
    <rPh sb="0" eb="2">
      <t>オンコウ</t>
    </rPh>
    <rPh sb="3" eb="5">
      <t>モノシズ</t>
    </rPh>
    <rPh sb="10" eb="11">
      <t>タカ</t>
    </rPh>
    <rPh sb="12" eb="14">
      <t>リソウ</t>
    </rPh>
    <rPh sb="15" eb="17">
      <t>セイシン</t>
    </rPh>
    <rPh sb="18" eb="20">
      <t>セイチョウ</t>
    </rPh>
    <rPh sb="20" eb="21">
      <t>ド</t>
    </rPh>
    <phoneticPr fontId="1"/>
  </si>
  <si>
    <t>直観型</t>
    <rPh sb="0" eb="2">
      <t>チョッカン</t>
    </rPh>
    <rPh sb="2" eb="3">
      <t>ガタ</t>
    </rPh>
    <phoneticPr fontId="1"/>
  </si>
  <si>
    <t>五感や六感、イメージ重視・直観型</t>
    <rPh sb="0" eb="2">
      <t>ゴカン</t>
    </rPh>
    <rPh sb="3" eb="5">
      <t>ロッカン</t>
    </rPh>
    <rPh sb="10" eb="12">
      <t>ジュウシ</t>
    </rPh>
    <rPh sb="13" eb="15">
      <t>チョッカン</t>
    </rPh>
    <rPh sb="15" eb="16">
      <t>ガタ</t>
    </rPh>
    <phoneticPr fontId="1"/>
  </si>
  <si>
    <t>穏やかでロマンティストな２、６、１１</t>
    <rPh sb="0" eb="1">
      <t>オダ</t>
    </rPh>
    <phoneticPr fontId="1"/>
  </si>
  <si>
    <t>穏やかに見守ってくれる
物静かな２、６</t>
    <rPh sb="0" eb="1">
      <t>オダ</t>
    </rPh>
    <rPh sb="4" eb="6">
      <t>ミマモ</t>
    </rPh>
    <rPh sb="12" eb="14">
      <t>モノシズ</t>
    </rPh>
    <phoneticPr fontId="1"/>
  </si>
  <si>
    <t>精神成長度が近く繊細な感覚の７、１１、３３</t>
    <rPh sb="0" eb="2">
      <t>セイシン</t>
    </rPh>
    <rPh sb="2" eb="4">
      <t>セイチョウ</t>
    </rPh>
    <rPh sb="4" eb="5">
      <t>ド</t>
    </rPh>
    <rPh sb="6" eb="7">
      <t>チカ</t>
    </rPh>
    <rPh sb="8" eb="10">
      <t>センサイ</t>
    </rPh>
    <rPh sb="11" eb="13">
      <t>カンカク</t>
    </rPh>
    <phoneticPr fontId="1"/>
  </si>
  <si>
    <t>≪対応ページ⑩≫</t>
    <rPh sb="1" eb="3">
      <t>タイオウ</t>
    </rPh>
    <phoneticPr fontId="1"/>
  </si>
  <si>
    <t>数秘</t>
    <rPh sb="0" eb="1">
      <t>スウ</t>
    </rPh>
    <rPh sb="1" eb="2">
      <t>ヒ</t>
    </rPh>
    <phoneticPr fontId="1"/>
  </si>
  <si>
    <t>アロマ</t>
    <phoneticPr fontId="1"/>
  </si>
  <si>
    <t>パワーストーン</t>
    <phoneticPr fontId="1"/>
  </si>
  <si>
    <t>レッド</t>
    <phoneticPr fontId="1"/>
  </si>
  <si>
    <t>ブラックペッパー　　　　　　　　　　ジンジャー　　　　　　　　　　　　　　　ローズマリー</t>
    <phoneticPr fontId="1"/>
  </si>
  <si>
    <t>ガーネット　　　　　　　　　　　　　　　　　　　　　　　　サンストーン　　　　　　　　　　　　　　　　　　　カーネリアン</t>
    <phoneticPr fontId="1"/>
  </si>
  <si>
    <t>オレンジ</t>
    <phoneticPr fontId="1"/>
  </si>
  <si>
    <t>クラリセージ　　　　　　　　　　　　　イランイラン　　　　　　　　　　　　　　　フェンネル</t>
    <phoneticPr fontId="1"/>
  </si>
  <si>
    <t>オレンジカルサイト　　　　　　　　　　　　　　　　オレンジムーンストーン　　　　　　　　　　　　　　マザーオブオパール</t>
    <phoneticPr fontId="1"/>
  </si>
  <si>
    <t>イエロー</t>
    <phoneticPr fontId="1"/>
  </si>
  <si>
    <t>レモン　　　　　　　　　　　　　　　　　オレンジ　　　　　　　　　　　　　　　　カモミール</t>
    <phoneticPr fontId="1"/>
  </si>
  <si>
    <t>イエローフローライト　　　　　　　　　　　　　　　イエローカルサイト　　　　　　　　　　　　　　　　　アラゴナイト</t>
    <phoneticPr fontId="1"/>
  </si>
  <si>
    <t>ブルー</t>
    <phoneticPr fontId="1"/>
  </si>
  <si>
    <t>パチュリ　　　　　　　　　　　　　　　　　バチパー　　　　　　　　　　　　　　　　　　　ローズマリー</t>
    <phoneticPr fontId="1"/>
  </si>
  <si>
    <t>アパタイト　　　　　　　　　　　　　　　　　　　　　　　アクアマリン　　　　　　　　　　　　　　　　　　　　ブルーレース</t>
    <phoneticPr fontId="1"/>
  </si>
  <si>
    <t>ターコイズ</t>
    <phoneticPr fontId="1"/>
  </si>
  <si>
    <t>ペパーミント　　　　　　　　　　　　　　　ティートリー　　　　　　　　　　　　　　　　　　　ユーカリ</t>
    <phoneticPr fontId="1"/>
  </si>
  <si>
    <t>ターコイズ　　　　　　　　　　　　　　　　　　　　　　アマゾナイト　　　　　　　　　　　　　　　　　　　　　クリソコラ</t>
    <phoneticPr fontId="1"/>
  </si>
  <si>
    <t>ピンク　　　　　　　　　　　　　　　　　　グリーン</t>
    <phoneticPr fontId="1"/>
  </si>
  <si>
    <t>ローズ　　　　　　　　　　　　　　　　　　ジャスミン　　　　　　　　　　　　　　　　　　　マジョラム</t>
    <phoneticPr fontId="1"/>
  </si>
  <si>
    <t>ローズクオーツ・ピンクオパール　　　　　　　　　　　　　モルガナイト・アベンチュリン</t>
    <phoneticPr fontId="1"/>
  </si>
  <si>
    <t>インディゴ</t>
    <phoneticPr fontId="1"/>
  </si>
  <si>
    <t>ジャスミン　　　　　　　　　　　　　　　ラベンダー　　　　　　　　　　　　　　　　スイートマジョラム</t>
    <phoneticPr fontId="1"/>
  </si>
  <si>
    <t>ラピスラズリ　　　　　　　　　　　　　　　　　　　チャロアイト　　　　　　　　　　　　　　　　　　　　オニキス</t>
    <phoneticPr fontId="1"/>
  </si>
  <si>
    <t>ゴールド</t>
    <phoneticPr fontId="1"/>
  </si>
  <si>
    <t>グレープフルーツ　　　　　　　　　　ベルガモット　　　　　　　　　　　　　　　マートル</t>
    <phoneticPr fontId="1"/>
  </si>
  <si>
    <t>ゴールドルチル　　　　　　　　　　　　　　　　　　シトリン　　　　　　　　　　　　　　　　　　　　　　　　アンバー</t>
    <phoneticPr fontId="1"/>
  </si>
  <si>
    <t>マゼンダピンク　　　　　　オリーブグリーン</t>
    <phoneticPr fontId="1"/>
  </si>
  <si>
    <t>サイプレス　　　　　　　　　　　　　　　クラリセージ　　　　　　　　　　　　　　　　　ミルラ</t>
    <phoneticPr fontId="1"/>
  </si>
  <si>
    <t>マラカイト　　　　　　　　　　　　　　　　　　　　　　　アズライト　　　　　　　　　　　　　　　　　　　　　ロードクロサイト</t>
    <phoneticPr fontId="1"/>
  </si>
  <si>
    <t>パープル</t>
    <phoneticPr fontId="1"/>
  </si>
  <si>
    <t>フランキンセンス　　　　　　　　　　　ローズ　　　　　　　　　　　　　　　　　　サイプレス</t>
    <phoneticPr fontId="1"/>
  </si>
  <si>
    <t>アメジスト　　　　　　　　　　　　　　　　　　　　　スギライト　　　　　　　　　　　　　　　　　　　　　ラブラトライト</t>
    <phoneticPr fontId="1"/>
  </si>
  <si>
    <t>プラチナシルバー</t>
    <phoneticPr fontId="1"/>
  </si>
  <si>
    <t>フランキンセンス　　　　　　　　　　　　ローズウッド　　　　　　　　　　　　　　　サンダルウッド</t>
    <phoneticPr fontId="1"/>
  </si>
  <si>
    <t>スーパーセブン　　　　　　　　　　　　　　　　　　　　ハーキマーダイヤモンド　　　　　　　　　　　　　　　ジェイド</t>
    <phoneticPr fontId="1"/>
  </si>
  <si>
    <t>クリア</t>
    <phoneticPr fontId="1"/>
  </si>
  <si>
    <t>フランキンセンス　　　　　　　　　　　　　ジャスミン　　　　　　　　　　　　　　　ローズ</t>
    <phoneticPr fontId="1"/>
  </si>
  <si>
    <t>クリスタルクオーツ　　　　　　　　　　　　　　　　　　　　ガーデンクオーツ　　　　　　　　　　　　　　　　　　　　ラリマー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</si>
</sst>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yyyy&quot;年&quot;"/>
  </numFmts>
  <fonts count="7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b/>
      <sz val="12"/>
      <color theme="0"/>
      <name val="ＭＳ Ｐゴシック"/>
      <family val="3"/>
      <charset val="128"/>
      <scheme val="minor"/>
    </font>
    <font>
      <sz val="9"/>
      <color theme="1"/>
      <name val="ＭＳ Ｐゴシック"/>
      <family val="3"/>
      <charset val="128"/>
      <scheme val="minor"/>
    </font>
    <font>
      <sz val="10"/>
      <color theme="1"/>
      <name val="ＭＳ Ｐゴシック"/>
      <family val="3"/>
      <charset val="128"/>
      <scheme val="minor"/>
    </font>
    <font>
      <sz val="10"/>
      <color theme="1"/>
      <name val="ＭＳ Ｐゴシック"/>
      <family val="2"/>
      <charset val="128"/>
      <scheme val="minor"/>
    </font>
    <font>
      <sz val="9"/>
      <color theme="1"/>
      <name val="ＭＳ Ｐゴシック"/>
      <family val="2"/>
      <charset val="128"/>
      <scheme val="minor"/>
    </font>
    <font>
      <sz val="11"/>
      <color theme="0"/>
      <name val="ＭＳ Ｐゴシック"/>
      <family val="2"/>
      <charset val="128"/>
      <scheme val="minor"/>
    </font>
    <font>
      <sz val="11"/>
      <name val="ＭＳ Ｐゴシック"/>
      <family val="3"/>
      <charset val="128"/>
      <scheme val="minor"/>
    </font>
    <font>
      <sz val="11"/>
      <name val="ＭＳ Ｐゴシック"/>
      <family val="2"/>
      <charset val="128"/>
      <scheme val="minor"/>
    </font>
    <font>
      <sz val="10"/>
      <color theme="1"/>
      <name val="ＭＳ Ｐ明朝"/>
      <family val="1"/>
      <charset val="128"/>
    </font>
    <font>
      <b/>
      <sz val="22"/>
      <color theme="0"/>
      <name val="ＭＳ Ｐゴシック"/>
      <family val="3"/>
      <charset val="128"/>
      <scheme val="minor"/>
    </font>
    <font>
      <sz val="20"/>
      <color theme="1"/>
      <name val="ＭＳ Ｐゴシック"/>
      <family val="2"/>
      <charset val="128"/>
      <scheme val="minor"/>
    </font>
    <font>
      <sz val="12"/>
      <color theme="1"/>
      <name val="ＭＳ Ｐゴシック"/>
      <family val="2"/>
      <charset val="128"/>
      <scheme val="minor"/>
    </font>
    <font>
      <sz val="12"/>
      <color theme="1"/>
      <name val="ＭＳ Ｐゴシック"/>
      <family val="3"/>
      <charset val="128"/>
      <scheme val="minor"/>
    </font>
    <font>
      <sz val="8"/>
      <color theme="1"/>
      <name val="ＭＳ Ｐゴシック"/>
      <family val="2"/>
      <charset val="128"/>
      <scheme val="minor"/>
    </font>
    <font>
      <sz val="11"/>
      <color theme="1"/>
      <name val="ＭＳ Ｐゴシック"/>
      <family val="3"/>
      <charset val="128"/>
      <scheme val="minor"/>
    </font>
    <font>
      <b/>
      <sz val="14"/>
      <color theme="1"/>
      <name val="ＭＳ Ｐゴシック"/>
      <family val="3"/>
      <charset val="128"/>
      <scheme val="minor"/>
    </font>
    <font>
      <b/>
      <sz val="12"/>
      <color rgb="FF7030A0"/>
      <name val="ＭＳ Ｐゴシック"/>
      <family val="3"/>
      <charset val="128"/>
      <scheme val="minor"/>
    </font>
    <font>
      <b/>
      <sz val="20"/>
      <color rgb="FFFF0000"/>
      <name val="ＭＳ Ｐゴシック"/>
      <family val="3"/>
      <charset val="128"/>
      <scheme val="minor"/>
    </font>
    <font>
      <b/>
      <sz val="12"/>
      <color theme="1"/>
      <name val="ＭＳ Ｐゴシック"/>
      <family val="3"/>
      <charset val="128"/>
      <scheme val="minor"/>
    </font>
    <font>
      <b/>
      <sz val="11"/>
      <color rgb="FFFF0000"/>
      <name val="ＭＳ Ｐゴシック"/>
      <family val="3"/>
      <charset val="128"/>
      <scheme val="minor"/>
    </font>
    <font>
      <sz val="9"/>
      <color theme="1"/>
      <name val="ＭＳ ゴシック"/>
      <family val="3"/>
      <charset val="128"/>
    </font>
    <font>
      <sz val="10.5"/>
      <color theme="1"/>
      <name val="ＭＳ 明朝"/>
      <family val="1"/>
      <charset val="128"/>
    </font>
    <font>
      <b/>
      <sz val="16"/>
      <color theme="1"/>
      <name val="ＭＳ Ｐゴシック"/>
      <family val="3"/>
      <charset val="128"/>
      <scheme val="minor"/>
    </font>
    <font>
      <sz val="9"/>
      <color indexed="81"/>
      <name val="ＭＳ Ｐゴシック"/>
      <family val="3"/>
      <charset val="128"/>
    </font>
    <font>
      <sz val="10"/>
      <name val="ＭＳ Ｐゴシック"/>
      <family val="2"/>
      <charset val="128"/>
      <scheme val="minor"/>
    </font>
    <font>
      <sz val="24"/>
      <color theme="1"/>
      <name val="ＭＳ Ｐゴシック"/>
      <family val="2"/>
      <charset val="128"/>
      <scheme val="minor"/>
    </font>
    <font>
      <sz val="18"/>
      <color theme="1"/>
      <name val="ＭＳ Ｐゴシック"/>
      <family val="2"/>
      <charset val="128"/>
      <scheme val="minor"/>
    </font>
    <font>
      <sz val="18"/>
      <color theme="1"/>
      <name val="ＭＳ Ｐゴシック"/>
      <family val="3"/>
      <charset val="128"/>
      <scheme val="minor"/>
    </font>
    <font>
      <b/>
      <sz val="14"/>
      <name val="ＭＳ Ｐゴシック"/>
      <family val="3"/>
      <charset val="128"/>
      <scheme val="minor"/>
    </font>
    <font>
      <sz val="11"/>
      <color theme="1" tint="0.34998626667073579"/>
      <name val="ＭＳ Ｐゴシック"/>
      <family val="2"/>
      <charset val="128"/>
      <scheme val="minor"/>
    </font>
    <font>
      <b/>
      <sz val="10"/>
      <color theme="1"/>
      <name val="AR P丸ゴシック体M"/>
      <family val="3"/>
      <charset val="128"/>
    </font>
    <font>
      <sz val="10"/>
      <color theme="1"/>
      <name val="AR P丸ゴシック体M"/>
      <family val="3"/>
      <charset val="128"/>
    </font>
    <font>
      <sz val="8"/>
      <color theme="1"/>
      <name val="AR P丸ゴシック体M"/>
      <family val="3"/>
      <charset val="128"/>
    </font>
    <font>
      <sz val="9"/>
      <color theme="1"/>
      <name val="AR P丸ゴシック体M"/>
      <family val="3"/>
      <charset val="128"/>
    </font>
    <font>
      <sz val="10"/>
      <color theme="1" tint="0.34998626667073579"/>
      <name val="AR P丸ゴシック体M"/>
      <family val="3"/>
      <charset val="128"/>
    </font>
    <font>
      <sz val="10"/>
      <name val="AR P丸ゴシック体M"/>
      <family val="3"/>
      <charset val="128"/>
    </font>
    <font>
      <sz val="12"/>
      <color theme="1"/>
      <name val="AR P丸ゴシック体M"/>
      <family val="3"/>
      <charset val="128"/>
    </font>
    <font>
      <sz val="9"/>
      <name val="AR P丸ゴシック体M"/>
      <family val="3"/>
      <charset val="128"/>
    </font>
    <font>
      <b/>
      <sz val="10"/>
      <name val="AR P丸ゴシック体M"/>
      <family val="3"/>
      <charset val="128"/>
    </font>
    <font>
      <sz val="11"/>
      <color rgb="FFFF3399"/>
      <name val="ＭＳ Ｐゴシック"/>
      <family val="2"/>
      <charset val="128"/>
      <scheme val="minor"/>
    </font>
    <font>
      <sz val="8"/>
      <color theme="1"/>
      <name val="ＭＳ Ｐゴシック"/>
      <family val="3"/>
      <charset val="128"/>
      <scheme val="minor"/>
    </font>
    <font>
      <sz val="7.5"/>
      <color theme="1"/>
      <name val="ＭＳ Ｐゴシック"/>
      <family val="2"/>
      <charset val="128"/>
      <scheme val="minor"/>
    </font>
    <font>
      <sz val="12"/>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10"/>
      <color rgb="FFEBF8FF"/>
      <name val="ＭＳ Ｐゴシック"/>
      <family val="2"/>
      <charset val="128"/>
      <scheme val="minor"/>
    </font>
    <font>
      <b/>
      <sz val="22"/>
      <color theme="0"/>
      <name val="AR P教科書体M"/>
      <family val="4"/>
      <charset val="128"/>
    </font>
    <font>
      <b/>
      <sz val="22"/>
      <color theme="2" tint="-0.499984740745262"/>
      <name val="AR P教科書体M"/>
      <family val="4"/>
      <charset val="128"/>
    </font>
    <font>
      <sz val="11"/>
      <color theme="0"/>
      <name val="AR P教科書体M"/>
      <family val="4"/>
      <charset val="128"/>
    </font>
    <font>
      <b/>
      <sz val="22"/>
      <color theme="1" tint="0.499984740745262"/>
      <name val="AR P教科書体M"/>
      <family val="4"/>
      <charset val="128"/>
    </font>
    <font>
      <sz val="10"/>
      <color theme="1"/>
      <name val="AR P教科書体M"/>
      <family val="4"/>
      <charset val="128"/>
    </font>
    <font>
      <sz val="12"/>
      <color theme="1"/>
      <name val="AR P教科書体M"/>
      <family val="4"/>
      <charset val="128"/>
    </font>
    <font>
      <sz val="9"/>
      <color theme="1"/>
      <name val="AR P教科書体M"/>
      <family val="4"/>
      <charset val="128"/>
    </font>
    <font>
      <sz val="10"/>
      <color theme="1"/>
      <name val="ＭＳ Ｐゴシック"/>
      <family val="3"/>
      <charset val="128"/>
    </font>
    <font>
      <b/>
      <sz val="20"/>
      <color rgb="FFE2509C"/>
      <name val="AR P教科書体M"/>
      <family val="4"/>
      <charset val="128"/>
    </font>
    <font>
      <b/>
      <sz val="20"/>
      <color theme="4" tint="-0.249977111117893"/>
      <name val="AR P教科書体M"/>
      <family val="4"/>
      <charset val="128"/>
    </font>
    <font>
      <b/>
      <sz val="28"/>
      <color rgb="FFE2509C"/>
      <name val="AR P教科書体M"/>
      <family val="4"/>
      <charset val="128"/>
    </font>
    <font>
      <b/>
      <sz val="10"/>
      <color rgb="FFE2509C"/>
      <name val="ＭＳ Ｐゴシック"/>
      <family val="3"/>
      <charset val="128"/>
    </font>
    <font>
      <b/>
      <sz val="28"/>
      <color rgb="FFE2509C"/>
      <name val="AR教科書体M"/>
      <family val="4"/>
      <charset val="128"/>
    </font>
    <font>
      <b/>
      <sz val="10"/>
      <color rgb="FFE2509C"/>
      <name val="ＭＳ Ｐゴシック"/>
      <family val="3"/>
      <charset val="128"/>
      <scheme val="minor"/>
    </font>
    <font>
      <b/>
      <sz val="28"/>
      <color theme="4" tint="-0.249977111117893"/>
      <name val="AR P教科書体M"/>
      <family val="4"/>
      <charset val="128"/>
    </font>
    <font>
      <b/>
      <sz val="12"/>
      <color rgb="FFE2509C"/>
      <name val="ＭＳ Ｐゴシック"/>
      <family val="3"/>
      <charset val="128"/>
      <scheme val="minor"/>
    </font>
    <font>
      <b/>
      <sz val="28"/>
      <color rgb="FF0070C0"/>
      <name val="AR P教科書体M"/>
      <family val="4"/>
      <charset val="128"/>
    </font>
    <font>
      <b/>
      <sz val="24"/>
      <color rgb="FFE2509C"/>
      <name val="AR P教科書体M"/>
      <family val="4"/>
      <charset val="128"/>
    </font>
    <font>
      <sz val="10"/>
      <color rgb="FFE2509C"/>
      <name val="ＭＳ Ｐゴシック"/>
      <family val="3"/>
      <charset val="128"/>
      <scheme val="minor"/>
    </font>
    <font>
      <b/>
      <sz val="18"/>
      <color rgb="FFE2509C"/>
      <name val="ＭＳ Ｐゴシック"/>
      <family val="3"/>
      <charset val="128"/>
      <scheme val="minor"/>
    </font>
    <font>
      <b/>
      <sz val="18"/>
      <color rgb="FFE2509C"/>
      <name val="AR P教科書体M"/>
      <family val="4"/>
      <charset val="128"/>
    </font>
    <font>
      <strike/>
      <sz val="11"/>
      <color theme="1"/>
      <name val="ＭＳ Ｐゴシック"/>
      <family val="2"/>
      <charset val="128"/>
      <scheme val="minor"/>
    </font>
  </fonts>
  <fills count="29">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66FF"/>
        <bgColor indexed="64"/>
      </patternFill>
    </fill>
    <fill>
      <patternFill patternType="solid">
        <fgColor rgb="FF00B0F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4" tint="-0.499984740745262"/>
        <bgColor indexed="64"/>
      </patternFill>
    </fill>
    <fill>
      <patternFill patternType="solid">
        <fgColor rgb="FFFF66CC"/>
        <bgColor indexed="64"/>
      </patternFill>
    </fill>
    <fill>
      <patternFill patternType="solid">
        <fgColor rgb="FFFEF57A"/>
        <bgColor indexed="64"/>
      </patternFill>
    </fill>
    <fill>
      <patternFill patternType="solid">
        <fgColor rgb="FF6FDEDB"/>
        <bgColor indexed="64"/>
      </patternFill>
    </fill>
    <fill>
      <patternFill patternType="solid">
        <fgColor rgb="FFFFBD5B"/>
        <bgColor indexed="64"/>
      </patternFill>
    </fill>
    <fill>
      <patternFill patternType="solid">
        <fgColor rgb="FF0083E6"/>
        <bgColor indexed="64"/>
      </patternFill>
    </fill>
    <fill>
      <patternFill patternType="solid">
        <fgColor rgb="FFA8A400"/>
        <bgColor indexed="64"/>
      </patternFill>
    </fill>
    <fill>
      <patternFill patternType="solid">
        <fgColor rgb="FFFFD5FF"/>
        <bgColor indexed="64"/>
      </patternFill>
    </fill>
    <fill>
      <patternFill patternType="solid">
        <fgColor rgb="FF69E16C"/>
        <bgColor indexed="64"/>
      </patternFill>
    </fill>
    <fill>
      <patternFill patternType="solid">
        <fgColor rgb="FFFDF7FF"/>
        <bgColor indexed="64"/>
      </patternFill>
    </fill>
    <fill>
      <patternFill patternType="solid">
        <fgColor rgb="FFEBF8FF"/>
        <bgColor indexed="64"/>
      </patternFill>
    </fill>
    <fill>
      <patternFill patternType="solid">
        <fgColor rgb="FFF3FBFF"/>
        <bgColor indexed="64"/>
      </patternFill>
    </fill>
    <fill>
      <patternFill patternType="solid">
        <fgColor rgb="FFF3FEFF"/>
        <bgColor indexed="64"/>
      </patternFill>
    </fill>
    <fill>
      <patternFill patternType="solid">
        <fgColor rgb="FFFEF2EC"/>
        <bgColor indexed="64"/>
      </patternFill>
    </fill>
    <fill>
      <patternFill patternType="solid">
        <fgColor rgb="FFFFFAEB"/>
        <bgColor indexed="64"/>
      </patternFill>
    </fill>
    <fill>
      <patternFill patternType="solid">
        <fgColor rgb="FFF7FCFF"/>
        <bgColor indexed="64"/>
      </patternFill>
    </fill>
    <fill>
      <patternFill patternType="solid">
        <fgColor rgb="FFE5F5FF"/>
        <bgColor indexed="64"/>
      </patternFill>
    </fill>
    <fill>
      <patternFill patternType="solid">
        <fgColor rgb="FFFBEFFF"/>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diagonalDown="1">
      <left style="thin">
        <color indexed="64"/>
      </left>
      <right/>
      <top style="thin">
        <color indexed="64"/>
      </top>
      <bottom style="thin">
        <color indexed="64"/>
      </bottom>
      <diagonal style="thin">
        <color indexed="64"/>
      </diagonal>
    </border>
    <border diagonalDown="1">
      <left/>
      <right/>
      <top style="thin">
        <color indexed="64"/>
      </top>
      <bottom style="thin">
        <color indexed="64"/>
      </bottom>
      <diagonal style="thin">
        <color indexed="64"/>
      </diagonal>
    </border>
    <border diagonalDown="1">
      <left/>
      <right style="thin">
        <color indexed="64"/>
      </right>
      <top style="thin">
        <color indexed="64"/>
      </top>
      <bottom style="thin">
        <color indexed="64"/>
      </bottom>
      <diagonal style="thin">
        <color indexed="64"/>
      </diagonal>
    </border>
    <border diagonalUp="1">
      <left style="thin">
        <color indexed="64"/>
      </left>
      <right style="thin">
        <color indexed="64"/>
      </right>
      <top style="thin">
        <color indexed="64"/>
      </top>
      <bottom style="thin">
        <color indexed="64"/>
      </bottom>
      <diagonal style="thin">
        <color indexed="64"/>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indexed="64"/>
      </right>
      <top style="medium">
        <color rgb="FFFF0000"/>
      </top>
      <bottom style="medium">
        <color rgb="FFFF0000"/>
      </bottom>
      <diagonal/>
    </border>
    <border>
      <left style="medium">
        <color indexed="64"/>
      </left>
      <right style="medium">
        <color indexed="64"/>
      </right>
      <top style="medium">
        <color rgb="FFFF0000"/>
      </top>
      <bottom style="medium">
        <color rgb="FFFF0000"/>
      </bottom>
      <diagonal/>
    </border>
    <border>
      <left style="medium">
        <color indexed="64"/>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style="medium">
        <color indexed="64"/>
      </top>
      <bottom style="medium">
        <color rgb="FFFF0000"/>
      </bottom>
      <diagonal/>
    </border>
    <border>
      <left style="thin">
        <color indexed="64"/>
      </left>
      <right style="thin">
        <color indexed="64"/>
      </right>
      <top style="thin">
        <color indexed="64"/>
      </top>
      <bottom style="medium">
        <color rgb="FFFF0000"/>
      </bottom>
      <diagonal/>
    </border>
    <border>
      <left style="thin">
        <color theme="1"/>
      </left>
      <right/>
      <top/>
      <bottom/>
      <diagonal/>
    </border>
    <border>
      <left style="thin">
        <color theme="1"/>
      </left>
      <right style="thin">
        <color theme="1"/>
      </right>
      <top style="thin">
        <color theme="1"/>
      </top>
      <bottom/>
      <diagonal/>
    </border>
    <border>
      <left style="medium">
        <color rgb="FFFF0000"/>
      </left>
      <right style="medium">
        <color rgb="FFFF0000"/>
      </right>
      <top style="medium">
        <color rgb="FFFF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0000"/>
      </left>
      <right/>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s>
  <cellStyleXfs count="1">
    <xf numFmtId="0" fontId="0" fillId="0" borderId="0">
      <alignment vertical="center"/>
    </xf>
  </cellStyleXfs>
  <cellXfs count="595">
    <xf numFmtId="0" fontId="0" fillId="0" borderId="0" xfId="0">
      <alignment vertical="center"/>
    </xf>
    <xf numFmtId="0" fontId="2" fillId="0" borderId="0" xfId="0" applyFont="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10" xfId="0" applyBorder="1">
      <alignment vertical="center"/>
    </xf>
    <xf numFmtId="0" fontId="0" fillId="0" borderId="15" xfId="0" applyBorder="1">
      <alignment vertical="center"/>
    </xf>
    <xf numFmtId="0" fontId="6" fillId="0" borderId="3" xfId="0" applyFont="1" applyBorder="1">
      <alignment vertical="center"/>
    </xf>
    <xf numFmtId="0" fontId="6" fillId="0" borderId="4" xfId="0" applyFont="1" applyBorder="1">
      <alignment vertical="center"/>
    </xf>
    <xf numFmtId="0" fontId="6" fillId="0" borderId="0" xfId="0" applyFont="1">
      <alignment vertical="center"/>
    </xf>
    <xf numFmtId="0" fontId="6" fillId="0" borderId="15" xfId="0" applyFont="1" applyBorder="1">
      <alignment vertical="center"/>
    </xf>
    <xf numFmtId="0" fontId="6" fillId="0" borderId="6" xfId="0" applyFont="1" applyBorder="1">
      <alignment vertical="center"/>
    </xf>
    <xf numFmtId="0" fontId="6" fillId="0" borderId="7" xfId="0" applyFont="1" applyBorder="1">
      <alignment vertical="center"/>
    </xf>
    <xf numFmtId="0" fontId="7" fillId="0" borderId="0" xfId="0" applyFont="1">
      <alignment vertical="center"/>
    </xf>
    <xf numFmtId="0" fontId="4" fillId="0" borderId="0" xfId="0" applyFont="1">
      <alignment vertical="center"/>
    </xf>
    <xf numFmtId="0" fontId="2" fillId="0" borderId="0" xfId="0" applyFont="1" applyAlignment="1">
      <alignment horizontal="center" vertical="center"/>
    </xf>
    <xf numFmtId="0" fontId="7" fillId="0" borderId="0" xfId="0" applyFont="1" applyAlignment="1">
      <alignment horizontal="left" vertical="center"/>
    </xf>
    <xf numFmtId="0" fontId="7" fillId="0" borderId="14" xfId="0" applyFont="1" applyBorder="1">
      <alignment vertical="center"/>
    </xf>
    <xf numFmtId="0" fontId="7" fillId="0" borderId="2" xfId="0" applyFont="1" applyBorder="1">
      <alignment vertical="center"/>
    </xf>
    <xf numFmtId="0" fontId="4" fillId="0" borderId="14" xfId="0" applyFont="1" applyBorder="1">
      <alignment vertical="center"/>
    </xf>
    <xf numFmtId="0" fontId="2" fillId="0" borderId="15" xfId="0" applyFont="1" applyBorder="1" applyAlignment="1">
      <alignment horizontal="center" vertical="center"/>
    </xf>
    <xf numFmtId="0" fontId="4" fillId="0" borderId="5" xfId="0" applyFont="1" applyBorder="1">
      <alignment vertical="center"/>
    </xf>
    <xf numFmtId="0" fontId="0" fillId="0" borderId="2" xfId="0" applyBorder="1">
      <alignment vertical="center"/>
    </xf>
    <xf numFmtId="0" fontId="0" fillId="0" borderId="14" xfId="0" applyBorder="1">
      <alignment vertical="center"/>
    </xf>
    <xf numFmtId="0" fontId="5" fillId="0" borderId="0" xfId="0" applyFont="1">
      <alignment vertical="center"/>
    </xf>
    <xf numFmtId="0" fontId="11" fillId="0" borderId="0" xfId="0" applyFont="1">
      <alignment vertical="center"/>
    </xf>
    <xf numFmtId="0" fontId="12" fillId="3" borderId="5" xfId="0" applyFont="1" applyFill="1" applyBorder="1">
      <alignment vertical="center"/>
    </xf>
    <xf numFmtId="0" fontId="12" fillId="3" borderId="7" xfId="0" applyFont="1" applyFill="1" applyBorder="1">
      <alignment vertical="center"/>
    </xf>
    <xf numFmtId="0" fontId="0" fillId="0" borderId="0" xfId="0" applyAlignment="1">
      <alignment vertical="center" wrapText="1"/>
    </xf>
    <xf numFmtId="0" fontId="4" fillId="0" borderId="0" xfId="0" applyFont="1" applyAlignment="1">
      <alignment vertical="center" wrapText="1"/>
    </xf>
    <xf numFmtId="0" fontId="6" fillId="0" borderId="2" xfId="0" applyFont="1" applyBorder="1">
      <alignment vertical="center"/>
    </xf>
    <xf numFmtId="0" fontId="6" fillId="0" borderId="5" xfId="0" applyFont="1" applyBorder="1">
      <alignment vertical="center"/>
    </xf>
    <xf numFmtId="0" fontId="13" fillId="0" borderId="0" xfId="0" applyFont="1">
      <alignment vertical="center"/>
    </xf>
    <xf numFmtId="0" fontId="14" fillId="0" borderId="0" xfId="0" applyFont="1">
      <alignment vertical="center"/>
    </xf>
    <xf numFmtId="0" fontId="0" fillId="0" borderId="1" xfId="0" applyBorder="1">
      <alignment vertical="center"/>
    </xf>
    <xf numFmtId="0" fontId="17" fillId="0" borderId="0" xfId="0" applyFont="1">
      <alignment vertical="center"/>
    </xf>
    <xf numFmtId="0" fontId="10" fillId="0" borderId="1" xfId="0" applyFont="1" applyBorder="1">
      <alignment vertical="center"/>
    </xf>
    <xf numFmtId="0" fontId="9" fillId="0" borderId="1" xfId="0" applyFont="1" applyBorder="1">
      <alignment vertical="center"/>
    </xf>
    <xf numFmtId="0" fontId="9" fillId="0" borderId="1" xfId="0" applyFont="1" applyBorder="1" applyAlignment="1">
      <alignment vertical="center" wrapText="1"/>
    </xf>
    <xf numFmtId="0" fontId="16" fillId="0" borderId="1" xfId="0" applyFont="1" applyBorder="1" applyAlignment="1">
      <alignment vertical="center" wrapText="1" shrinkToFit="1"/>
    </xf>
    <xf numFmtId="0" fontId="18" fillId="0" borderId="0" xfId="0" applyFont="1">
      <alignment vertical="center"/>
    </xf>
    <xf numFmtId="0" fontId="20" fillId="0" borderId="0" xfId="0" applyFont="1" applyAlignment="1">
      <alignment horizontal="center" vertical="center"/>
    </xf>
    <xf numFmtId="0" fontId="19" fillId="0" borderId="0" xfId="0" applyFont="1">
      <alignment vertical="center"/>
    </xf>
    <xf numFmtId="0" fontId="22" fillId="0" borderId="0" xfId="0" applyFont="1" applyAlignment="1">
      <alignment horizontal="left" vertical="center" wrapText="1"/>
    </xf>
    <xf numFmtId="0" fontId="23" fillId="0" borderId="1" xfId="0" applyFont="1" applyBorder="1" applyAlignment="1">
      <alignment vertical="center" wrapText="1"/>
    </xf>
    <xf numFmtId="0" fontId="23" fillId="0" borderId="1" xfId="0" applyFont="1" applyBorder="1" applyAlignment="1">
      <alignment horizontal="justify" vertical="center"/>
    </xf>
    <xf numFmtId="0" fontId="7" fillId="0" borderId="1" xfId="0" applyFont="1" applyBorder="1" applyAlignment="1">
      <alignment horizontal="left" vertical="center" wrapText="1"/>
    </xf>
    <xf numFmtId="0" fontId="7" fillId="0" borderId="1" xfId="0" applyFont="1" applyBorder="1" applyAlignment="1">
      <alignment vertical="center" wrapText="1"/>
    </xf>
    <xf numFmtId="0" fontId="23" fillId="0" borderId="1" xfId="0" applyFont="1" applyBorder="1" applyAlignment="1">
      <alignment horizontal="left" vertical="center" wrapText="1"/>
    </xf>
    <xf numFmtId="0" fontId="0" fillId="7" borderId="0" xfId="0" applyFill="1" applyAlignment="1">
      <alignment horizontal="center" vertical="center"/>
    </xf>
    <xf numFmtId="0" fontId="0" fillId="7" borderId="1" xfId="0" applyFill="1" applyBorder="1" applyAlignment="1">
      <alignment horizontal="center" vertical="center" wrapText="1"/>
    </xf>
    <xf numFmtId="0" fontId="4" fillId="0" borderId="1" xfId="0" applyFont="1" applyBorder="1" applyAlignment="1">
      <alignment vertical="center" wrapText="1"/>
    </xf>
    <xf numFmtId="0" fontId="17" fillId="0" borderId="0" xfId="0" applyFont="1" applyAlignment="1">
      <alignment vertical="center" wrapText="1"/>
    </xf>
    <xf numFmtId="0" fontId="10" fillId="0" borderId="1" xfId="0" applyFont="1" applyBorder="1" applyAlignment="1">
      <alignment horizontal="center" vertical="center"/>
    </xf>
    <xf numFmtId="0" fontId="10" fillId="0" borderId="0" xfId="0" applyFont="1">
      <alignment vertical="center"/>
    </xf>
    <xf numFmtId="0" fontId="7" fillId="0" borderId="1" xfId="0" applyFont="1" applyBorder="1">
      <alignment vertical="center"/>
    </xf>
    <xf numFmtId="0" fontId="10" fillId="0" borderId="8" xfId="0" applyFont="1" applyBorder="1" applyAlignment="1">
      <alignment horizontal="center" vertical="center"/>
    </xf>
    <xf numFmtId="0" fontId="0" fillId="0" borderId="8" xfId="0" applyBorder="1" applyAlignment="1">
      <alignment horizontal="center" vertical="center"/>
    </xf>
    <xf numFmtId="0" fontId="0" fillId="6" borderId="8" xfId="0" applyFill="1" applyBorder="1" applyAlignment="1">
      <alignment horizontal="center" vertical="center"/>
    </xf>
    <xf numFmtId="0" fontId="24" fillId="0" borderId="0" xfId="0" applyFont="1" applyAlignment="1">
      <alignment horizontal="justify" vertical="center"/>
    </xf>
    <xf numFmtId="0" fontId="6" fillId="0" borderId="1" xfId="0" applyFont="1" applyBorder="1" applyAlignment="1">
      <alignment vertical="center" wrapText="1"/>
    </xf>
    <xf numFmtId="0" fontId="5" fillId="0" borderId="1" xfId="0" applyFont="1" applyBorder="1" applyAlignment="1">
      <alignment vertical="center" wrapText="1"/>
    </xf>
    <xf numFmtId="0" fontId="0" fillId="0" borderId="1" xfId="0" applyBorder="1" applyAlignment="1">
      <alignment vertical="center" shrinkToFit="1"/>
    </xf>
    <xf numFmtId="0" fontId="4" fillId="0" borderId="19" xfId="0" applyFont="1" applyBorder="1" applyAlignment="1">
      <alignment vertical="center" wrapText="1"/>
    </xf>
    <xf numFmtId="0" fontId="7" fillId="0" borderId="1" xfId="0" applyFont="1" applyBorder="1" applyAlignment="1">
      <alignment vertical="center" wrapText="1" shrinkToFit="1"/>
    </xf>
    <xf numFmtId="0" fontId="4" fillId="0" borderId="1" xfId="0" applyFont="1" applyBorder="1" applyAlignment="1">
      <alignment vertical="center" wrapText="1" shrinkToFit="1"/>
    </xf>
    <xf numFmtId="0" fontId="0" fillId="0" borderId="1" xfId="0" applyBorder="1" applyAlignment="1">
      <alignment vertical="center" wrapText="1"/>
    </xf>
    <xf numFmtId="0" fontId="17" fillId="6" borderId="0" xfId="0" applyFont="1" applyFill="1">
      <alignment vertical="center"/>
    </xf>
    <xf numFmtId="0" fontId="17" fillId="5" borderId="0" xfId="0" applyFont="1" applyFill="1">
      <alignment vertical="center"/>
    </xf>
    <xf numFmtId="0" fontId="9" fillId="4" borderId="0" xfId="0" applyFont="1" applyFill="1">
      <alignment vertical="center"/>
    </xf>
    <xf numFmtId="0" fontId="15" fillId="0" borderId="0" xfId="0" applyFont="1">
      <alignment vertical="center"/>
    </xf>
    <xf numFmtId="0" fontId="15" fillId="0" borderId="0" xfId="0" applyFont="1" applyAlignment="1">
      <alignment horizontal="center" vertical="center"/>
    </xf>
    <xf numFmtId="0" fontId="25" fillId="0" borderId="0" xfId="0" applyFont="1">
      <alignment vertical="center"/>
    </xf>
    <xf numFmtId="0" fontId="22" fillId="0" borderId="0" xfId="0" applyFont="1" applyAlignment="1">
      <alignment vertical="center" wrapText="1"/>
    </xf>
    <xf numFmtId="0" fontId="10" fillId="0" borderId="0" xfId="0" applyFont="1" applyAlignment="1">
      <alignment vertical="center" wrapText="1"/>
    </xf>
    <xf numFmtId="0" fontId="15" fillId="0" borderId="0" xfId="0" applyFont="1" applyAlignment="1">
      <alignment vertical="center" wrapText="1"/>
    </xf>
    <xf numFmtId="0" fontId="0" fillId="9" borderId="1" xfId="0" applyFill="1" applyBorder="1" applyAlignment="1">
      <alignment horizontal="center" vertical="center"/>
    </xf>
    <xf numFmtId="0" fontId="3" fillId="0" borderId="6" xfId="0" applyFont="1" applyBorder="1" applyAlignment="1">
      <alignment horizontal="center" vertical="center"/>
    </xf>
    <xf numFmtId="0" fontId="3" fillId="0" borderId="0" xfId="0" applyFont="1">
      <alignment vertical="center"/>
    </xf>
    <xf numFmtId="0" fontId="0" fillId="0" borderId="14" xfId="0" applyBorder="1" applyAlignment="1">
      <alignment vertical="center" wrapText="1"/>
    </xf>
    <xf numFmtId="0" fontId="0" fillId="0" borderId="15" xfId="0" applyBorder="1" applyAlignment="1">
      <alignment vertical="center" wrapText="1"/>
    </xf>
    <xf numFmtId="0" fontId="7" fillId="0" borderId="19" xfId="0" applyFont="1" applyBorder="1" applyAlignment="1">
      <alignment horizontal="left" vertical="center" wrapText="1"/>
    </xf>
    <xf numFmtId="0" fontId="5" fillId="0" borderId="8" xfId="0" applyFont="1" applyBorder="1">
      <alignment vertical="center"/>
    </xf>
    <xf numFmtId="0" fontId="6" fillId="0" borderId="8" xfId="0" applyFont="1" applyBorder="1">
      <alignment vertical="center"/>
    </xf>
    <xf numFmtId="0" fontId="5" fillId="0" borderId="9" xfId="0" applyFont="1" applyBorder="1">
      <alignment vertical="center"/>
    </xf>
    <xf numFmtId="0" fontId="5" fillId="0" borderId="10" xfId="0" applyFont="1" applyBorder="1">
      <alignment vertical="center"/>
    </xf>
    <xf numFmtId="0" fontId="5" fillId="0" borderId="15" xfId="0" applyFont="1" applyBorder="1">
      <alignment vertical="center"/>
    </xf>
    <xf numFmtId="0" fontId="6" fillId="0" borderId="14" xfId="0" applyFont="1" applyBorder="1">
      <alignment vertical="center"/>
    </xf>
    <xf numFmtId="0" fontId="0" fillId="0" borderId="3" xfId="0" applyBorder="1" applyAlignment="1">
      <alignment vertical="center" wrapText="1"/>
    </xf>
    <xf numFmtId="0" fontId="5" fillId="0" borderId="0" xfId="0" applyFont="1" applyAlignment="1">
      <alignment vertical="center" wrapText="1"/>
    </xf>
    <xf numFmtId="177" fontId="0" fillId="0" borderId="0" xfId="0" applyNumberFormat="1">
      <alignment vertical="center"/>
    </xf>
    <xf numFmtId="0" fontId="0" fillId="6" borderId="9" xfId="0" applyFill="1" applyBorder="1" applyAlignment="1">
      <alignment horizontal="center" vertical="center"/>
    </xf>
    <xf numFmtId="0" fontId="14" fillId="6" borderId="27" xfId="0" applyFont="1" applyFill="1" applyBorder="1" applyAlignment="1">
      <alignment horizontal="center" vertical="center"/>
    </xf>
    <xf numFmtId="0" fontId="15" fillId="6" borderId="27" xfId="0" applyFont="1" applyFill="1" applyBorder="1" applyAlignment="1">
      <alignment horizontal="center" vertical="center"/>
    </xf>
    <xf numFmtId="0" fontId="15" fillId="5" borderId="29" xfId="0" applyFont="1" applyFill="1" applyBorder="1" applyAlignment="1">
      <alignment horizontal="center" vertical="center"/>
    </xf>
    <xf numFmtId="0" fontId="15" fillId="4" borderId="11" xfId="0" applyFont="1" applyFill="1" applyBorder="1" applyAlignment="1">
      <alignment horizontal="center" vertical="center"/>
    </xf>
    <xf numFmtId="0" fontId="0" fillId="0" borderId="0" xfId="0" applyAlignment="1">
      <alignment horizontal="center" vertical="center"/>
    </xf>
    <xf numFmtId="0" fontId="6" fillId="0" borderId="4" xfId="0" applyFont="1" applyBorder="1" applyAlignment="1">
      <alignment vertical="center" wrapText="1"/>
    </xf>
    <xf numFmtId="0" fontId="6" fillId="0" borderId="15" xfId="0" applyFont="1" applyBorder="1" applyAlignment="1">
      <alignment vertical="center" wrapText="1"/>
    </xf>
    <xf numFmtId="0" fontId="6" fillId="0" borderId="7" xfId="0" applyFont="1" applyBorder="1" applyAlignment="1">
      <alignment vertical="center" wrapText="1"/>
    </xf>
    <xf numFmtId="0" fontId="5" fillId="0" borderId="0" xfId="0" applyFont="1" applyAlignment="1">
      <alignment vertical="center" shrinkToFit="1"/>
    </xf>
    <xf numFmtId="0" fontId="0" fillId="6" borderId="0" xfId="0" applyFill="1" applyAlignment="1">
      <alignment horizontal="center" vertical="center"/>
    </xf>
    <xf numFmtId="0" fontId="33" fillId="0" borderId="0" xfId="0" applyFont="1">
      <alignment vertical="center"/>
    </xf>
    <xf numFmtId="0" fontId="34" fillId="0" borderId="0" xfId="0" applyFont="1">
      <alignment vertical="center"/>
    </xf>
    <xf numFmtId="0" fontId="35" fillId="0" borderId="0" xfId="0" applyFont="1">
      <alignment vertical="center"/>
    </xf>
    <xf numFmtId="0" fontId="36" fillId="0" borderId="8" xfId="0" applyFont="1" applyBorder="1">
      <alignment vertical="center"/>
    </xf>
    <xf numFmtId="0" fontId="36" fillId="0" borderId="0" xfId="0" applyFont="1">
      <alignment vertical="center"/>
    </xf>
    <xf numFmtId="0" fontId="7" fillId="0" borderId="1" xfId="0" applyFont="1" applyBorder="1" applyAlignment="1">
      <alignment horizontal="center" vertical="center"/>
    </xf>
    <xf numFmtId="0" fontId="40" fillId="0" borderId="0" xfId="0" applyFont="1">
      <alignment vertical="center"/>
    </xf>
    <xf numFmtId="0" fontId="38" fillId="0" borderId="0" xfId="0" applyFont="1">
      <alignment vertical="center"/>
    </xf>
    <xf numFmtId="0" fontId="41" fillId="0" borderId="0" xfId="0" applyFont="1">
      <alignment vertical="center"/>
    </xf>
    <xf numFmtId="0" fontId="42" fillId="0" borderId="0" xfId="0" applyFont="1">
      <alignment vertical="center"/>
    </xf>
    <xf numFmtId="0" fontId="12" fillId="13" borderId="5" xfId="0" applyFont="1" applyFill="1" applyBorder="1">
      <alignment vertical="center"/>
    </xf>
    <xf numFmtId="0" fontId="12" fillId="13" borderId="6" xfId="0" applyFont="1" applyFill="1" applyBorder="1">
      <alignment vertical="center"/>
    </xf>
    <xf numFmtId="0" fontId="12" fillId="13" borderId="7" xfId="0" applyFont="1" applyFill="1" applyBorder="1">
      <alignment vertical="center"/>
    </xf>
    <xf numFmtId="0" fontId="12" fillId="14" borderId="6" xfId="0" applyFont="1" applyFill="1" applyBorder="1">
      <alignment vertical="center"/>
    </xf>
    <xf numFmtId="0" fontId="12" fillId="14" borderId="5" xfId="0" applyFont="1" applyFill="1" applyBorder="1">
      <alignment vertical="center"/>
    </xf>
    <xf numFmtId="0" fontId="12" fillId="14" borderId="7" xfId="0" applyFont="1" applyFill="1" applyBorder="1">
      <alignment vertical="center"/>
    </xf>
    <xf numFmtId="0" fontId="12" fillId="10" borderId="6" xfId="0" applyFont="1" applyFill="1" applyBorder="1">
      <alignment vertical="center"/>
    </xf>
    <xf numFmtId="0" fontId="12" fillId="10" borderId="5" xfId="0" applyFont="1" applyFill="1" applyBorder="1">
      <alignment vertical="center"/>
    </xf>
    <xf numFmtId="0" fontId="12" fillId="10" borderId="7" xfId="0" applyFont="1" applyFill="1" applyBorder="1">
      <alignment vertical="center"/>
    </xf>
    <xf numFmtId="0" fontId="0" fillId="11" borderId="6" xfId="0" applyFill="1" applyBorder="1">
      <alignment vertical="center"/>
    </xf>
    <xf numFmtId="0" fontId="0" fillId="11" borderId="5" xfId="0" applyFill="1" applyBorder="1">
      <alignment vertical="center"/>
    </xf>
    <xf numFmtId="0" fontId="0" fillId="11" borderId="7" xfId="0" applyFill="1" applyBorder="1">
      <alignment vertical="center"/>
    </xf>
    <xf numFmtId="0" fontId="0" fillId="12" borderId="2" xfId="0" applyFill="1" applyBorder="1">
      <alignment vertical="center"/>
    </xf>
    <xf numFmtId="0" fontId="0" fillId="12" borderId="14" xfId="0" applyFill="1" applyBorder="1">
      <alignment vertical="center"/>
    </xf>
    <xf numFmtId="0" fontId="0" fillId="12" borderId="5" xfId="0" applyFill="1" applyBorder="1">
      <alignment vertical="center"/>
    </xf>
    <xf numFmtId="0" fontId="0" fillId="17" borderId="4" xfId="0" applyFill="1" applyBorder="1">
      <alignment vertical="center"/>
    </xf>
    <xf numFmtId="0" fontId="0" fillId="17" borderId="15" xfId="0" applyFill="1" applyBorder="1">
      <alignment vertical="center"/>
    </xf>
    <xf numFmtId="0" fontId="0" fillId="17" borderId="7" xfId="0" applyFill="1" applyBorder="1">
      <alignment vertical="center"/>
    </xf>
    <xf numFmtId="0" fontId="0" fillId="18" borderId="5" xfId="0" applyFill="1" applyBorder="1">
      <alignment vertical="center"/>
    </xf>
    <xf numFmtId="0" fontId="0" fillId="19" borderId="7" xfId="0" applyFill="1" applyBorder="1">
      <alignment vertical="center"/>
    </xf>
    <xf numFmtId="0" fontId="23" fillId="0" borderId="1" xfId="0" applyFont="1" applyBorder="1" applyAlignment="1">
      <alignment horizontal="justify" vertical="center" wrapText="1"/>
    </xf>
    <xf numFmtId="0" fontId="15" fillId="0" borderId="20" xfId="0" applyFont="1" applyBorder="1" applyProtection="1">
      <alignment vertical="center"/>
      <protection locked="0"/>
    </xf>
    <xf numFmtId="0" fontId="15" fillId="0" borderId="30" xfId="0" applyFont="1" applyBorder="1" applyProtection="1">
      <alignment vertical="center"/>
      <protection locked="0"/>
    </xf>
    <xf numFmtId="0" fontId="0" fillId="0" borderId="20" xfId="0" applyBorder="1" applyAlignment="1" applyProtection="1">
      <alignment horizontal="center" vertical="center"/>
      <protection locked="0"/>
    </xf>
    <xf numFmtId="0" fontId="0" fillId="0" borderId="21" xfId="0" applyBorder="1" applyProtection="1">
      <alignment vertical="center"/>
      <protection locked="0"/>
    </xf>
    <xf numFmtId="177" fontId="0" fillId="0" borderId="34" xfId="0" applyNumberFormat="1" applyBorder="1">
      <alignment vertical="center"/>
    </xf>
    <xf numFmtId="0" fontId="0" fillId="0" borderId="34" xfId="0" applyBorder="1">
      <alignment vertical="center"/>
    </xf>
    <xf numFmtId="0" fontId="0" fillId="0" borderId="20" xfId="0" applyBorder="1">
      <alignment vertical="center"/>
    </xf>
    <xf numFmtId="0" fontId="0" fillId="0" borderId="0" xfId="0" applyAlignment="1">
      <alignment horizontal="right" vertical="center"/>
    </xf>
    <xf numFmtId="0" fontId="0" fillId="0" borderId="20" xfId="0" applyBorder="1" applyAlignment="1">
      <alignment horizontal="right" vertical="center"/>
    </xf>
    <xf numFmtId="0" fontId="17" fillId="6" borderId="8" xfId="0" applyFont="1" applyFill="1" applyBorder="1">
      <alignment vertical="center"/>
    </xf>
    <xf numFmtId="0" fontId="0" fillId="6" borderId="8" xfId="0" applyFill="1" applyBorder="1" applyAlignment="1">
      <alignment horizontal="left" vertical="center"/>
    </xf>
    <xf numFmtId="0" fontId="0" fillId="0" borderId="20" xfId="0" applyBorder="1" applyProtection="1">
      <alignment vertical="center"/>
      <protection locked="0"/>
    </xf>
    <xf numFmtId="0" fontId="8" fillId="0" borderId="0" xfId="0" applyFont="1">
      <alignment vertical="center"/>
    </xf>
    <xf numFmtId="0" fontId="31" fillId="0" borderId="0" xfId="0" applyFont="1">
      <alignment vertical="center"/>
    </xf>
    <xf numFmtId="0" fontId="0" fillId="0" borderId="0" xfId="0" applyAlignment="1">
      <alignment vertical="top"/>
    </xf>
    <xf numFmtId="0" fontId="6" fillId="0" borderId="3" xfId="0" applyFont="1" applyBorder="1" applyAlignment="1" applyProtection="1">
      <alignment vertical="top"/>
      <protection locked="0"/>
    </xf>
    <xf numFmtId="0" fontId="6" fillId="0" borderId="6" xfId="0" applyFont="1" applyBorder="1" applyAlignment="1" applyProtection="1">
      <alignment vertical="top"/>
      <protection locked="0"/>
    </xf>
    <xf numFmtId="0" fontId="6" fillId="0" borderId="3" xfId="0" applyFont="1" applyBorder="1" applyAlignment="1">
      <alignment vertical="top"/>
    </xf>
    <xf numFmtId="0" fontId="6" fillId="0" borderId="6" xfId="0" applyFont="1" applyBorder="1" applyAlignment="1">
      <alignment vertical="top"/>
    </xf>
    <xf numFmtId="0" fontId="45" fillId="0" borderId="0" xfId="0" applyFont="1" applyAlignment="1">
      <alignment horizontal="left" vertical="center"/>
    </xf>
    <xf numFmtId="0" fontId="46" fillId="0" borderId="0" xfId="0" applyFont="1">
      <alignment vertical="center"/>
    </xf>
    <xf numFmtId="0" fontId="47" fillId="0" borderId="0" xfId="0" applyFont="1">
      <alignment vertical="center"/>
    </xf>
    <xf numFmtId="0" fontId="10" fillId="0" borderId="28" xfId="0" applyFont="1" applyBorder="1">
      <alignment vertical="center"/>
    </xf>
    <xf numFmtId="0" fontId="0" fillId="0" borderId="13" xfId="0" applyBorder="1" applyAlignment="1" applyProtection="1">
      <alignment horizontal="center" vertical="center"/>
      <protection locked="0"/>
    </xf>
    <xf numFmtId="0" fontId="28" fillId="0" borderId="1" xfId="0" applyFont="1" applyBorder="1" applyAlignment="1" applyProtection="1">
      <alignment horizontal="center" vertical="center"/>
      <protection locked="0"/>
    </xf>
    <xf numFmtId="0" fontId="0" fillId="0" borderId="0" xfId="0" applyProtection="1">
      <alignment vertical="center"/>
      <protection locked="0"/>
    </xf>
    <xf numFmtId="0" fontId="0" fillId="0" borderId="1" xfId="0" applyBorder="1" applyAlignment="1" applyProtection="1">
      <alignment horizontal="center" vertical="center"/>
      <protection locked="0"/>
    </xf>
    <xf numFmtId="0" fontId="0" fillId="0" borderId="1" xfId="0" applyBorder="1" applyProtection="1">
      <alignment vertical="center"/>
      <protection locked="0"/>
    </xf>
    <xf numFmtId="14" fontId="0" fillId="0" borderId="0" xfId="0" applyNumberFormat="1">
      <alignment vertical="center"/>
    </xf>
    <xf numFmtId="0" fontId="22" fillId="0" borderId="0" xfId="0" applyFont="1">
      <alignment vertical="center"/>
    </xf>
    <xf numFmtId="0" fontId="0" fillId="0" borderId="20" xfId="0" applyBorder="1" applyAlignment="1" applyProtection="1">
      <alignment vertical="center" wrapText="1"/>
      <protection locked="0"/>
    </xf>
    <xf numFmtId="0" fontId="0" fillId="8" borderId="0" xfId="0" applyFill="1">
      <alignment vertical="center"/>
    </xf>
    <xf numFmtId="0" fontId="0" fillId="8" borderId="8" xfId="0" applyFill="1" applyBorder="1">
      <alignment vertical="center"/>
    </xf>
    <xf numFmtId="0" fontId="34" fillId="8" borderId="9" xfId="0" applyFont="1" applyFill="1" applyBorder="1">
      <alignment vertical="center"/>
    </xf>
    <xf numFmtId="0" fontId="5" fillId="8" borderId="9" xfId="0" applyFont="1" applyFill="1" applyBorder="1">
      <alignment vertical="center"/>
    </xf>
    <xf numFmtId="0" fontId="0" fillId="8" borderId="10" xfId="0" applyFill="1" applyBorder="1">
      <alignment vertical="center"/>
    </xf>
    <xf numFmtId="0" fontId="5" fillId="8" borderId="8" xfId="0" applyFont="1" applyFill="1" applyBorder="1" applyAlignment="1">
      <alignment horizontal="center" vertical="center"/>
    </xf>
    <xf numFmtId="0" fontId="0" fillId="20" borderId="15" xfId="0" applyFill="1" applyBorder="1">
      <alignment vertical="center"/>
    </xf>
    <xf numFmtId="0" fontId="32" fillId="20" borderId="10" xfId="0" applyFont="1" applyFill="1" applyBorder="1">
      <alignment vertical="center"/>
    </xf>
    <xf numFmtId="0" fontId="0" fillId="20" borderId="0" xfId="0" applyFill="1">
      <alignment vertical="center"/>
    </xf>
    <xf numFmtId="0" fontId="36" fillId="20" borderId="13" xfId="0" applyFont="1" applyFill="1" applyBorder="1" applyAlignment="1">
      <alignment horizontal="center" vertical="center"/>
    </xf>
    <xf numFmtId="0" fontId="3" fillId="20" borderId="0" xfId="0" applyFont="1" applyFill="1">
      <alignment vertical="center"/>
    </xf>
    <xf numFmtId="0" fontId="0" fillId="22" borderId="0" xfId="0" applyFill="1">
      <alignment vertical="center"/>
    </xf>
    <xf numFmtId="0" fontId="35" fillId="20" borderId="9" xfId="0" applyFont="1" applyFill="1" applyBorder="1">
      <alignment vertical="center"/>
    </xf>
    <xf numFmtId="0" fontId="35" fillId="21" borderId="9" xfId="0" applyFont="1" applyFill="1" applyBorder="1">
      <alignment vertical="center"/>
    </xf>
    <xf numFmtId="0" fontId="48" fillId="21" borderId="8" xfId="0" applyFont="1" applyFill="1" applyBorder="1">
      <alignment vertical="center"/>
    </xf>
    <xf numFmtId="0" fontId="5" fillId="21" borderId="9" xfId="0" applyFont="1" applyFill="1" applyBorder="1">
      <alignment vertical="center"/>
    </xf>
    <xf numFmtId="0" fontId="5" fillId="21" borderId="10" xfId="0" applyFont="1" applyFill="1" applyBorder="1">
      <alignment vertical="center"/>
    </xf>
    <xf numFmtId="0" fontId="5" fillId="20" borderId="8" xfId="0" applyFont="1" applyFill="1" applyBorder="1">
      <alignment vertical="center"/>
    </xf>
    <xf numFmtId="0" fontId="5" fillId="20" borderId="9" xfId="0" applyFont="1" applyFill="1" applyBorder="1">
      <alignment vertical="center"/>
    </xf>
    <xf numFmtId="0" fontId="5" fillId="20" borderId="10" xfId="0" applyFont="1" applyFill="1" applyBorder="1">
      <alignment vertical="center"/>
    </xf>
    <xf numFmtId="0" fontId="6" fillId="21" borderId="8" xfId="0" applyFont="1" applyFill="1" applyBorder="1">
      <alignment vertical="center"/>
    </xf>
    <xf numFmtId="0" fontId="5" fillId="22" borderId="10" xfId="0" applyFont="1" applyFill="1" applyBorder="1">
      <alignment vertical="center"/>
    </xf>
    <xf numFmtId="0" fontId="6" fillId="22" borderId="8" xfId="0" applyFont="1" applyFill="1" applyBorder="1">
      <alignment vertical="center"/>
    </xf>
    <xf numFmtId="0" fontId="35" fillId="22" borderId="9" xfId="0" applyFont="1" applyFill="1" applyBorder="1">
      <alignment vertical="center"/>
    </xf>
    <xf numFmtId="0" fontId="5" fillId="22" borderId="9" xfId="0" applyFont="1" applyFill="1" applyBorder="1">
      <alignment vertical="center"/>
    </xf>
    <xf numFmtId="0" fontId="0" fillId="24" borderId="7" xfId="0" applyFill="1" applyBorder="1" applyAlignment="1">
      <alignment vertical="center" shrinkToFit="1"/>
    </xf>
    <xf numFmtId="0" fontId="0" fillId="24" borderId="10" xfId="0" applyFill="1" applyBorder="1" applyAlignment="1">
      <alignment vertical="center" shrinkToFit="1"/>
    </xf>
    <xf numFmtId="0" fontId="53" fillId="22" borderId="5" xfId="0" applyFont="1" applyFill="1" applyBorder="1" applyAlignment="1">
      <alignment horizontal="center" vertical="center"/>
    </xf>
    <xf numFmtId="0" fontId="53" fillId="20" borderId="8" xfId="0" applyFont="1" applyFill="1" applyBorder="1" applyAlignment="1">
      <alignment horizontal="center" vertical="center"/>
    </xf>
    <xf numFmtId="0" fontId="53" fillId="24" borderId="8" xfId="0" applyFont="1" applyFill="1" applyBorder="1" applyAlignment="1">
      <alignment horizontal="center" vertical="center"/>
    </xf>
    <xf numFmtId="0" fontId="53" fillId="23" borderId="8" xfId="0" applyFont="1" applyFill="1" applyBorder="1" applyAlignment="1">
      <alignment horizontal="center" vertical="center"/>
    </xf>
    <xf numFmtId="0" fontId="53" fillId="20" borderId="10" xfId="0" applyFont="1" applyFill="1" applyBorder="1" applyAlignment="1">
      <alignment horizontal="center" vertical="center"/>
    </xf>
    <xf numFmtId="0" fontId="53" fillId="22" borderId="10" xfId="0" applyFont="1" applyFill="1" applyBorder="1" applyAlignment="1">
      <alignment horizontal="center" vertical="center"/>
    </xf>
    <xf numFmtId="0" fontId="53" fillId="24" borderId="10" xfId="0" applyFont="1" applyFill="1" applyBorder="1" applyAlignment="1">
      <alignment horizontal="center" vertical="center"/>
    </xf>
    <xf numFmtId="0" fontId="54" fillId="24" borderId="5" xfId="0" applyFont="1" applyFill="1" applyBorder="1" applyAlignment="1">
      <alignment horizontal="center" vertical="center"/>
    </xf>
    <xf numFmtId="0" fontId="54" fillId="24" borderId="8" xfId="0" applyFont="1" applyFill="1" applyBorder="1" applyAlignment="1">
      <alignment horizontal="center" vertical="center"/>
    </xf>
    <xf numFmtId="176" fontId="17" fillId="24" borderId="10" xfId="0" applyNumberFormat="1" applyFont="1" applyFill="1" applyBorder="1" applyAlignment="1">
      <alignment horizontal="left" vertical="center"/>
    </xf>
    <xf numFmtId="0" fontId="54" fillId="8" borderId="10" xfId="0" applyFont="1" applyFill="1" applyBorder="1" applyAlignment="1">
      <alignment horizontal="center" vertical="center"/>
    </xf>
    <xf numFmtId="0" fontId="54" fillId="8" borderId="1" xfId="0" applyFont="1" applyFill="1" applyBorder="1" applyAlignment="1">
      <alignment horizontal="center" vertical="center"/>
    </xf>
    <xf numFmtId="0" fontId="4" fillId="8" borderId="5" xfId="0" applyFont="1" applyFill="1" applyBorder="1" applyAlignment="1">
      <alignment horizontal="center" vertical="center"/>
    </xf>
    <xf numFmtId="0" fontId="70" fillId="0" borderId="20" xfId="0" applyFont="1" applyBorder="1" applyAlignment="1" applyProtection="1">
      <alignment horizontal="center" vertical="center"/>
      <protection locked="0"/>
    </xf>
    <xf numFmtId="0" fontId="36" fillId="28" borderId="11" xfId="0" applyFont="1" applyFill="1" applyBorder="1" applyAlignment="1">
      <alignment horizontal="center" vertical="center"/>
    </xf>
    <xf numFmtId="0" fontId="36" fillId="28" borderId="13" xfId="0" applyFont="1" applyFill="1" applyBorder="1" applyAlignment="1">
      <alignment horizontal="center" vertical="center"/>
    </xf>
    <xf numFmtId="0" fontId="3" fillId="28" borderId="0" xfId="0" applyFont="1" applyFill="1">
      <alignment vertical="center"/>
    </xf>
    <xf numFmtId="0" fontId="0" fillId="28" borderId="0" xfId="0" applyFill="1">
      <alignment vertical="center"/>
    </xf>
    <xf numFmtId="0" fontId="0" fillId="27" borderId="0" xfId="0" applyFill="1">
      <alignment vertical="center"/>
    </xf>
    <xf numFmtId="0" fontId="5" fillId="28" borderId="8" xfId="0" applyFont="1" applyFill="1" applyBorder="1">
      <alignment vertical="center"/>
    </xf>
    <xf numFmtId="0" fontId="35" fillId="28" borderId="9" xfId="0" applyFont="1" applyFill="1" applyBorder="1">
      <alignment vertical="center"/>
    </xf>
    <xf numFmtId="0" fontId="5" fillId="28" borderId="9" xfId="0" applyFont="1" applyFill="1" applyBorder="1">
      <alignment vertical="center"/>
    </xf>
    <xf numFmtId="0" fontId="5" fillId="28" borderId="10" xfId="0" applyFont="1" applyFill="1" applyBorder="1">
      <alignment vertical="center"/>
    </xf>
    <xf numFmtId="0" fontId="6" fillId="0" borderId="1" xfId="0" applyFont="1" applyBorder="1">
      <alignment vertical="center"/>
    </xf>
    <xf numFmtId="176" fontId="54" fillId="24" borderId="8" xfId="0" applyNumberFormat="1" applyFont="1" applyFill="1" applyBorder="1" applyAlignment="1">
      <alignment horizontal="right" vertical="center"/>
    </xf>
    <xf numFmtId="0" fontId="7" fillId="0" borderId="0" xfId="0" applyFont="1" applyAlignment="1">
      <alignment horizontal="right" vertical="center"/>
    </xf>
    <xf numFmtId="0" fontId="6" fillId="0" borderId="3" xfId="0" applyFont="1" applyBorder="1" applyAlignment="1">
      <alignment horizontal="left" vertical="center" wrapText="1"/>
    </xf>
    <xf numFmtId="0" fontId="17" fillId="0" borderId="0" xfId="0" applyFont="1" applyAlignment="1">
      <alignment horizontal="center" vertical="center"/>
    </xf>
    <xf numFmtId="0" fontId="36" fillId="0" borderId="1" xfId="0" applyFont="1" applyBorder="1" applyAlignment="1">
      <alignment horizontal="center" vertical="center"/>
    </xf>
    <xf numFmtId="0" fontId="21" fillId="0" borderId="0" xfId="0" applyFont="1">
      <alignment vertical="center"/>
    </xf>
    <xf numFmtId="0" fontId="0" fillId="0" borderId="1" xfId="0" applyBorder="1" applyAlignment="1">
      <alignment horizontal="center" vertical="center"/>
    </xf>
    <xf numFmtId="0" fontId="0" fillId="7" borderId="1" xfId="0" applyFill="1" applyBorder="1" applyAlignment="1">
      <alignment horizontal="center" vertical="center"/>
    </xf>
    <xf numFmtId="14" fontId="15" fillId="0" borderId="31" xfId="0" applyNumberFormat="1" applyFont="1" applyBorder="1" applyAlignment="1" applyProtection="1">
      <alignment horizontal="center" vertical="center"/>
      <protection locked="0"/>
    </xf>
    <xf numFmtId="14" fontId="15" fillId="0" borderId="32" xfId="0" applyNumberFormat="1" applyFont="1" applyBorder="1" applyAlignment="1" applyProtection="1">
      <alignment horizontal="center" vertical="center"/>
      <protection locked="0"/>
    </xf>
    <xf numFmtId="14" fontId="15" fillId="0" borderId="33" xfId="0" applyNumberFormat="1" applyFont="1" applyBorder="1" applyAlignment="1" applyProtection="1">
      <alignment horizontal="center" vertical="center"/>
      <protection locked="0"/>
    </xf>
    <xf numFmtId="0" fontId="6" fillId="0" borderId="0" xfId="0" applyFont="1" applyAlignment="1">
      <alignment horizontal="left" vertical="center" wrapText="1"/>
    </xf>
    <xf numFmtId="0" fontId="5" fillId="0" borderId="0" xfId="0" applyFont="1" applyAlignment="1">
      <alignment horizontal="left" vertical="center" wrapText="1"/>
    </xf>
    <xf numFmtId="0" fontId="21" fillId="0" borderId="25" xfId="0" applyFont="1" applyBorder="1" applyAlignment="1">
      <alignment horizontal="center" vertical="center"/>
    </xf>
    <xf numFmtId="0" fontId="21" fillId="0" borderId="26" xfId="0" applyFont="1" applyBorder="1" applyAlignment="1">
      <alignment horizontal="center" vertical="center"/>
    </xf>
    <xf numFmtId="0" fontId="15" fillId="0" borderId="22" xfId="0" applyFont="1" applyBorder="1" applyAlignment="1" applyProtection="1">
      <alignment horizontal="center" vertical="center"/>
      <protection locked="0"/>
    </xf>
    <xf numFmtId="0" fontId="15" fillId="0" borderId="23" xfId="0" applyFont="1" applyBorder="1" applyAlignment="1" applyProtection="1">
      <alignment horizontal="center" vertical="center"/>
      <protection locked="0"/>
    </xf>
    <xf numFmtId="0" fontId="15" fillId="0" borderId="24" xfId="0" applyFont="1" applyBorder="1" applyAlignment="1" applyProtection="1">
      <alignment horizontal="center" vertical="center"/>
      <protection locked="0"/>
    </xf>
    <xf numFmtId="0" fontId="21" fillId="0" borderId="30" xfId="0" applyFont="1" applyBorder="1" applyAlignment="1">
      <alignment horizontal="center" vertical="center"/>
    </xf>
    <xf numFmtId="0" fontId="21" fillId="0" borderId="36" xfId="0" applyFont="1" applyBorder="1" applyAlignment="1">
      <alignment horizontal="center" vertical="center"/>
    </xf>
    <xf numFmtId="0" fontId="18" fillId="0" borderId="0" xfId="0" applyFont="1" applyAlignment="1">
      <alignment horizontal="left" vertical="center" wrapText="1"/>
    </xf>
    <xf numFmtId="0" fontId="36" fillId="28" borderId="5" xfId="0" applyFont="1" applyFill="1" applyBorder="1" applyAlignment="1">
      <alignment horizontal="center" vertical="center"/>
    </xf>
    <xf numFmtId="0" fontId="36" fillId="28" borderId="6" xfId="0" applyFont="1" applyFill="1" applyBorder="1" applyAlignment="1">
      <alignment horizontal="center" vertical="center"/>
    </xf>
    <xf numFmtId="0" fontId="36" fillId="28" borderId="7" xfId="0" applyFont="1" applyFill="1" applyBorder="1" applyAlignment="1">
      <alignment horizontal="center" vertical="center"/>
    </xf>
    <xf numFmtId="0" fontId="58" fillId="0" borderId="2" xfId="0" applyFont="1" applyBorder="1" applyAlignment="1">
      <alignment horizontal="center" vertical="center"/>
    </xf>
    <xf numFmtId="0" fontId="58" fillId="0" borderId="3" xfId="0" applyFont="1" applyBorder="1" applyAlignment="1">
      <alignment horizontal="center" vertical="center"/>
    </xf>
    <xf numFmtId="0" fontId="58" fillId="0" borderId="4" xfId="0" applyFont="1" applyBorder="1" applyAlignment="1">
      <alignment horizontal="center" vertical="center"/>
    </xf>
    <xf numFmtId="0" fontId="58" fillId="0" borderId="14" xfId="0" applyFont="1" applyBorder="1" applyAlignment="1">
      <alignment horizontal="center" vertical="center"/>
    </xf>
    <xf numFmtId="0" fontId="58" fillId="0" borderId="0" xfId="0" applyFont="1" applyAlignment="1">
      <alignment horizontal="center" vertical="center"/>
    </xf>
    <xf numFmtId="0" fontId="58" fillId="0" borderId="15" xfId="0" applyFont="1" applyBorder="1" applyAlignment="1">
      <alignment horizontal="center" vertical="center"/>
    </xf>
    <xf numFmtId="0" fontId="36" fillId="20" borderId="5" xfId="0" applyFont="1" applyFill="1" applyBorder="1" applyAlignment="1">
      <alignment horizontal="center" vertical="center"/>
    </xf>
    <xf numFmtId="0" fontId="36" fillId="20" borderId="6" xfId="0" applyFont="1" applyFill="1" applyBorder="1" applyAlignment="1">
      <alignment horizontal="center" vertical="center"/>
    </xf>
    <xf numFmtId="0" fontId="36" fillId="20" borderId="7" xfId="0" applyFont="1" applyFill="1" applyBorder="1" applyAlignment="1">
      <alignment horizontal="center" vertical="center"/>
    </xf>
    <xf numFmtId="0" fontId="57" fillId="0" borderId="2" xfId="0" applyFont="1" applyBorder="1" applyAlignment="1">
      <alignment horizontal="center"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14" xfId="0" applyFont="1" applyBorder="1" applyAlignment="1">
      <alignment horizontal="center" vertical="center"/>
    </xf>
    <xf numFmtId="0" fontId="57" fillId="0" borderId="0" xfId="0" applyFont="1" applyAlignment="1">
      <alignment horizontal="center" vertical="center"/>
    </xf>
    <xf numFmtId="0" fontId="57" fillId="0" borderId="15" xfId="0" applyFont="1" applyBorder="1" applyAlignment="1">
      <alignment horizontal="center" vertical="center"/>
    </xf>
    <xf numFmtId="0" fontId="0" fillId="0" borderId="15" xfId="0" applyBorder="1" applyAlignment="1">
      <alignment horizontal="center" vertical="center"/>
    </xf>
    <xf numFmtId="0" fontId="7" fillId="0" borderId="0" xfId="0" applyFont="1" applyAlignment="1">
      <alignment horizontal="right" vertical="center"/>
    </xf>
    <xf numFmtId="0" fontId="34" fillId="28" borderId="0" xfId="0" applyFont="1" applyFill="1" applyAlignment="1">
      <alignment horizontal="center" vertical="center" wrapText="1"/>
    </xf>
    <xf numFmtId="0" fontId="58" fillId="0" borderId="11" xfId="0" applyFont="1" applyBorder="1" applyAlignment="1">
      <alignment horizontal="center" vertical="center"/>
    </xf>
    <xf numFmtId="0" fontId="58" fillId="0" borderId="12" xfId="0" applyFont="1" applyBorder="1" applyAlignment="1">
      <alignment horizontal="center" vertical="center"/>
    </xf>
    <xf numFmtId="0" fontId="57" fillId="0" borderId="11" xfId="0" applyFont="1" applyBorder="1" applyAlignment="1">
      <alignment horizontal="center" vertical="center"/>
    </xf>
    <xf numFmtId="0" fontId="57" fillId="0" borderId="12" xfId="0" applyFont="1" applyBorder="1" applyAlignment="1">
      <alignment horizontal="center" vertical="center"/>
    </xf>
    <xf numFmtId="0" fontId="0" fillId="0" borderId="9" xfId="0" applyBorder="1" applyAlignment="1">
      <alignment horizontal="center" vertical="center"/>
    </xf>
    <xf numFmtId="0" fontId="36" fillId="20" borderId="8" xfId="0" applyFont="1" applyFill="1" applyBorder="1" applyAlignment="1">
      <alignment horizontal="center" vertical="center"/>
    </xf>
    <xf numFmtId="0" fontId="36" fillId="20" borderId="9" xfId="0" applyFont="1" applyFill="1" applyBorder="1" applyAlignment="1">
      <alignment horizontal="center" vertical="center"/>
    </xf>
    <xf numFmtId="0" fontId="58" fillId="0" borderId="13" xfId="0" applyFont="1" applyBorder="1" applyAlignment="1">
      <alignment horizontal="center" vertical="center"/>
    </xf>
    <xf numFmtId="0" fontId="34" fillId="27" borderId="0" xfId="0" applyFont="1" applyFill="1" applyAlignment="1">
      <alignment horizontal="center" vertical="center" wrapText="1"/>
    </xf>
    <xf numFmtId="0" fontId="7" fillId="0" borderId="8" xfId="0" applyFont="1" applyBorder="1" applyAlignment="1">
      <alignment horizontal="center"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57" fillId="0" borderId="5" xfId="0" applyFont="1" applyBorder="1" applyAlignment="1">
      <alignment horizontal="center" vertical="center"/>
    </xf>
    <xf numFmtId="0" fontId="57" fillId="0" borderId="6" xfId="0" applyFont="1" applyBorder="1" applyAlignment="1">
      <alignment horizontal="center" vertical="center"/>
    </xf>
    <xf numFmtId="0" fontId="57" fillId="0" borderId="7" xfId="0" applyFont="1" applyBorder="1" applyAlignment="1">
      <alignment horizontal="center" vertical="center"/>
    </xf>
    <xf numFmtId="0" fontId="34" fillId="28" borderId="6" xfId="0" applyFont="1" applyFill="1" applyBorder="1" applyAlignment="1">
      <alignment horizontal="center" vertical="center" wrapText="1"/>
    </xf>
    <xf numFmtId="0" fontId="57" fillId="0" borderId="13" xfId="0" applyFont="1" applyBorder="1" applyAlignment="1">
      <alignment horizontal="center" vertical="center"/>
    </xf>
    <xf numFmtId="0" fontId="36" fillId="0" borderId="2" xfId="0" applyFont="1" applyBorder="1" applyAlignment="1">
      <alignment horizontal="center" vertical="center"/>
    </xf>
    <xf numFmtId="0" fontId="36" fillId="0" borderId="3" xfId="0" applyFont="1" applyBorder="1" applyAlignment="1">
      <alignment horizontal="center" vertical="center"/>
    </xf>
    <xf numFmtId="0" fontId="36" fillId="0" borderId="4" xfId="0" applyFont="1" applyBorder="1" applyAlignment="1">
      <alignment horizontal="center" vertical="center"/>
    </xf>
    <xf numFmtId="0" fontId="36" fillId="0" borderId="5" xfId="0" applyFont="1" applyBorder="1" applyAlignment="1">
      <alignment horizontal="center" vertical="center"/>
    </xf>
    <xf numFmtId="0" fontId="36" fillId="0" borderId="6" xfId="0" applyFont="1" applyBorder="1" applyAlignment="1">
      <alignment horizontal="center" vertical="center"/>
    </xf>
    <xf numFmtId="0" fontId="36" fillId="0" borderId="7" xfId="0" applyFont="1" applyBorder="1" applyAlignment="1">
      <alignment horizontal="center" vertical="center"/>
    </xf>
    <xf numFmtId="0" fontId="36" fillId="20" borderId="14" xfId="0" applyFont="1" applyFill="1" applyBorder="1" applyAlignment="1">
      <alignment horizontal="center" vertical="center"/>
    </xf>
    <xf numFmtId="0" fontId="36" fillId="20" borderId="0" xfId="0" applyFont="1" applyFill="1" applyAlignment="1">
      <alignment horizontal="center" vertical="center"/>
    </xf>
    <xf numFmtId="0" fontId="36" fillId="0" borderId="14" xfId="0" applyFont="1" applyBorder="1" applyAlignment="1">
      <alignment horizontal="center" vertical="center"/>
    </xf>
    <xf numFmtId="0" fontId="36" fillId="0" borderId="0" xfId="0" applyFont="1" applyAlignment="1">
      <alignment horizontal="center" vertical="center"/>
    </xf>
    <xf numFmtId="0" fontId="36" fillId="0" borderId="15" xfId="0" applyFont="1" applyBorder="1" applyAlignment="1">
      <alignment horizontal="center" vertical="center"/>
    </xf>
    <xf numFmtId="0" fontId="56" fillId="0" borderId="3" xfId="0" applyFont="1" applyBorder="1" applyAlignment="1">
      <alignment horizontal="left" vertical="center" wrapText="1"/>
    </xf>
    <xf numFmtId="0" fontId="56" fillId="0" borderId="0" xfId="0" applyFont="1" applyAlignment="1">
      <alignment horizontal="left" vertical="center" wrapText="1"/>
    </xf>
    <xf numFmtId="0" fontId="60" fillId="0" borderId="0" xfId="0" applyFont="1" applyAlignment="1">
      <alignment horizontal="left" vertical="center" shrinkToFit="1"/>
    </xf>
    <xf numFmtId="0" fontId="60" fillId="0" borderId="6" xfId="0" applyFont="1" applyBorder="1" applyAlignment="1">
      <alignment horizontal="left" vertical="center" shrinkToFit="1"/>
    </xf>
    <xf numFmtId="0" fontId="5" fillId="0" borderId="9" xfId="0" applyFont="1" applyBorder="1" applyAlignment="1">
      <alignment horizontal="center" vertical="center"/>
    </xf>
    <xf numFmtId="0" fontId="56" fillId="0" borderId="6" xfId="0" applyFont="1" applyBorder="1" applyAlignment="1">
      <alignment horizontal="left" vertical="center" wrapText="1"/>
    </xf>
    <xf numFmtId="0" fontId="34" fillId="28" borderId="0" xfId="0" applyFont="1" applyFill="1" applyAlignment="1">
      <alignment horizontal="left" vertical="center"/>
    </xf>
    <xf numFmtId="0" fontId="34" fillId="8" borderId="0" xfId="0" applyFont="1" applyFill="1" applyAlignment="1">
      <alignment horizontal="center" vertical="center"/>
    </xf>
    <xf numFmtId="0" fontId="34" fillId="28" borderId="0" xfId="0" applyFont="1" applyFill="1" applyAlignment="1">
      <alignment horizontal="center" vertical="center"/>
    </xf>
    <xf numFmtId="0" fontId="59" fillId="0" borderId="2" xfId="0" applyFont="1" applyBorder="1" applyAlignment="1">
      <alignment horizontal="center" vertical="center"/>
    </xf>
    <xf numFmtId="0" fontId="59" fillId="0" borderId="3" xfId="0" applyFont="1" applyBorder="1" applyAlignment="1">
      <alignment horizontal="center" vertical="center"/>
    </xf>
    <xf numFmtId="0" fontId="59" fillId="0" borderId="4" xfId="0" applyFont="1" applyBorder="1" applyAlignment="1">
      <alignment horizontal="center" vertical="center"/>
    </xf>
    <xf numFmtId="0" fontId="59" fillId="0" borderId="14" xfId="0" applyFont="1" applyBorder="1" applyAlignment="1">
      <alignment horizontal="center" vertical="center"/>
    </xf>
    <xf numFmtId="0" fontId="59" fillId="0" borderId="0" xfId="0" applyFont="1" applyAlignment="1">
      <alignment horizontal="center" vertical="center"/>
    </xf>
    <xf numFmtId="0" fontId="59" fillId="0" borderId="15" xfId="0" applyFont="1" applyBorder="1" applyAlignment="1">
      <alignment horizontal="center" vertical="center"/>
    </xf>
    <xf numFmtId="0" fontId="59" fillId="0" borderId="5" xfId="0" applyFont="1" applyBorder="1" applyAlignment="1">
      <alignment horizontal="center" vertical="center"/>
    </xf>
    <xf numFmtId="0" fontId="59" fillId="0" borderId="6" xfId="0" applyFont="1" applyBorder="1" applyAlignment="1">
      <alignment horizontal="center" vertical="center"/>
    </xf>
    <xf numFmtId="0" fontId="59" fillId="0" borderId="7" xfId="0" applyFont="1" applyBorder="1" applyAlignment="1">
      <alignment horizontal="center" vertical="center"/>
    </xf>
    <xf numFmtId="0" fontId="39" fillId="28" borderId="0" xfId="0" applyFont="1" applyFill="1">
      <alignment vertical="center"/>
    </xf>
    <xf numFmtId="0" fontId="39" fillId="28" borderId="6" xfId="0" applyFont="1" applyFill="1" applyBorder="1">
      <alignment vertical="center"/>
    </xf>
    <xf numFmtId="0" fontId="61" fillId="0" borderId="2" xfId="0" applyFont="1" applyBorder="1" applyAlignment="1">
      <alignment horizontal="center" vertical="center"/>
    </xf>
    <xf numFmtId="0" fontId="61" fillId="0" borderId="3" xfId="0" applyFont="1" applyBorder="1" applyAlignment="1">
      <alignment horizontal="center" vertical="center"/>
    </xf>
    <xf numFmtId="0" fontId="61" fillId="0" borderId="4" xfId="0" applyFont="1" applyBorder="1" applyAlignment="1">
      <alignment horizontal="center" vertical="center"/>
    </xf>
    <xf numFmtId="0" fontId="61" fillId="0" borderId="14" xfId="0" applyFont="1" applyBorder="1" applyAlignment="1">
      <alignment horizontal="center" vertical="center"/>
    </xf>
    <xf numFmtId="0" fontId="61" fillId="0" borderId="0" xfId="0" applyFont="1" applyAlignment="1">
      <alignment horizontal="center" vertical="center"/>
    </xf>
    <xf numFmtId="0" fontId="61" fillId="0" borderId="15" xfId="0" applyFont="1" applyBorder="1" applyAlignment="1">
      <alignment horizontal="center" vertical="center"/>
    </xf>
    <xf numFmtId="0" fontId="61" fillId="0" borderId="5" xfId="0" applyFont="1" applyBorder="1" applyAlignment="1">
      <alignment horizontal="center" vertical="center"/>
    </xf>
    <xf numFmtId="0" fontId="61" fillId="0" borderId="6" xfId="0" applyFont="1" applyBorder="1" applyAlignment="1">
      <alignment horizontal="center" vertical="center"/>
    </xf>
    <xf numFmtId="0" fontId="61" fillId="0" borderId="7" xfId="0" applyFont="1" applyBorder="1" applyAlignment="1">
      <alignment horizontal="center" vertical="center"/>
    </xf>
    <xf numFmtId="0" fontId="5" fillId="0" borderId="3" xfId="0" applyFont="1" applyBorder="1" applyAlignment="1">
      <alignment horizontal="left" vertical="center" wrapText="1"/>
    </xf>
    <xf numFmtId="0" fontId="5" fillId="0" borderId="6" xfId="0" applyFont="1" applyBorder="1" applyAlignment="1">
      <alignment horizontal="left" vertical="center" wrapText="1"/>
    </xf>
    <xf numFmtId="0" fontId="6" fillId="0" borderId="3" xfId="0" applyFont="1" applyBorder="1" applyAlignment="1">
      <alignment horizontal="left" vertical="center" wrapText="1"/>
    </xf>
    <xf numFmtId="0" fontId="6" fillId="0" borderId="6" xfId="0" applyFont="1" applyBorder="1" applyAlignment="1">
      <alignment horizontal="left" vertical="center" wrapText="1"/>
    </xf>
    <xf numFmtId="0" fontId="34" fillId="27" borderId="0" xfId="0" applyFont="1" applyFill="1" applyAlignment="1">
      <alignment horizontal="center" vertical="center"/>
    </xf>
    <xf numFmtId="0" fontId="62" fillId="0" borderId="0" xfId="0" applyFont="1" applyAlignment="1">
      <alignment horizontal="left" vertical="center" shrinkToFit="1"/>
    </xf>
    <xf numFmtId="0" fontId="62" fillId="0" borderId="6" xfId="0" applyFont="1" applyBorder="1" applyAlignment="1">
      <alignment horizontal="left" vertical="center" shrinkToFit="1"/>
    </xf>
    <xf numFmtId="0" fontId="34" fillId="20" borderId="0" xfId="0" applyFont="1" applyFill="1" applyAlignment="1">
      <alignment horizontal="center" vertical="center"/>
    </xf>
    <xf numFmtId="0" fontId="5" fillId="28" borderId="0" xfId="0" applyFont="1" applyFill="1" applyAlignment="1">
      <alignment horizontal="left" vertical="center"/>
    </xf>
    <xf numFmtId="0" fontId="64" fillId="0" borderId="3" xfId="0" applyFont="1" applyBorder="1" applyAlignment="1">
      <alignment horizontal="left" vertical="center" wrapText="1"/>
    </xf>
    <xf numFmtId="0" fontId="64" fillId="0" borderId="0" xfId="0" applyFont="1" applyAlignment="1">
      <alignment horizontal="left" vertical="center" wrapText="1"/>
    </xf>
    <xf numFmtId="0" fontId="27" fillId="0" borderId="0" xfId="0" applyFont="1" applyAlignment="1">
      <alignment horizontal="left" vertical="top" wrapText="1"/>
    </xf>
    <xf numFmtId="0" fontId="27" fillId="0" borderId="6" xfId="0" applyFont="1" applyBorder="1" applyAlignment="1">
      <alignment horizontal="left" vertical="top" wrapText="1"/>
    </xf>
    <xf numFmtId="0" fontId="34" fillId="22" borderId="0" xfId="0" applyFont="1" applyFill="1" applyAlignment="1">
      <alignment horizontal="center" vertical="center"/>
    </xf>
    <xf numFmtId="0" fontId="63" fillId="0" borderId="2" xfId="0" applyFont="1" applyBorder="1" applyAlignment="1">
      <alignment horizontal="center" vertical="center"/>
    </xf>
    <xf numFmtId="0" fontId="63" fillId="0" borderId="3" xfId="0" applyFont="1" applyBorder="1" applyAlignment="1">
      <alignment horizontal="center" vertical="center"/>
    </xf>
    <xf numFmtId="0" fontId="63" fillId="0" borderId="4" xfId="0" applyFont="1" applyBorder="1" applyAlignment="1">
      <alignment horizontal="center" vertical="center"/>
    </xf>
    <xf numFmtId="0" fontId="63" fillId="0" borderId="14" xfId="0" applyFont="1" applyBorder="1" applyAlignment="1">
      <alignment horizontal="center" vertical="center"/>
    </xf>
    <xf numFmtId="0" fontId="63" fillId="0" borderId="0" xfId="0" applyFont="1" applyAlignment="1">
      <alignment horizontal="center" vertical="center"/>
    </xf>
    <xf numFmtId="0" fontId="63" fillId="0" borderId="15" xfId="0" applyFont="1" applyBorder="1" applyAlignment="1">
      <alignment horizontal="center" vertical="center"/>
    </xf>
    <xf numFmtId="0" fontId="63" fillId="0" borderId="5" xfId="0" applyFont="1" applyBorder="1" applyAlignment="1">
      <alignment horizontal="center" vertical="center"/>
    </xf>
    <xf numFmtId="0" fontId="63" fillId="0" borderId="6" xfId="0" applyFont="1" applyBorder="1" applyAlignment="1">
      <alignment horizontal="center" vertical="center"/>
    </xf>
    <xf numFmtId="0" fontId="63" fillId="0" borderId="7" xfId="0" applyFont="1" applyBorder="1" applyAlignment="1">
      <alignment horizontal="center" vertical="center"/>
    </xf>
    <xf numFmtId="0" fontId="65" fillId="0" borderId="2" xfId="0" applyFont="1" applyBorder="1" applyAlignment="1">
      <alignment horizontal="center" vertical="center"/>
    </xf>
    <xf numFmtId="0" fontId="65" fillId="0" borderId="3" xfId="0" applyFont="1" applyBorder="1" applyAlignment="1">
      <alignment horizontal="center" vertical="center"/>
    </xf>
    <xf numFmtId="0" fontId="65" fillId="0" borderId="4" xfId="0" applyFont="1" applyBorder="1" applyAlignment="1">
      <alignment horizontal="center" vertical="center"/>
    </xf>
    <xf numFmtId="0" fontId="65" fillId="0" borderId="14" xfId="0" applyFont="1" applyBorder="1" applyAlignment="1">
      <alignment horizontal="center" vertical="center"/>
    </xf>
    <xf numFmtId="0" fontId="65" fillId="0" borderId="0" xfId="0" applyFont="1" applyAlignment="1">
      <alignment horizontal="center" vertical="center"/>
    </xf>
    <xf numFmtId="0" fontId="65" fillId="0" borderId="15" xfId="0" applyFont="1" applyBorder="1" applyAlignment="1">
      <alignment horizontal="center" vertical="center"/>
    </xf>
    <xf numFmtId="0" fontId="65" fillId="0" borderId="5" xfId="0" applyFont="1" applyBorder="1" applyAlignment="1">
      <alignment horizontal="center" vertical="center"/>
    </xf>
    <xf numFmtId="0" fontId="65" fillId="0" borderId="6" xfId="0" applyFont="1" applyBorder="1" applyAlignment="1">
      <alignment horizontal="center" vertical="center"/>
    </xf>
    <xf numFmtId="0" fontId="65" fillId="0" borderId="7" xfId="0" applyFont="1" applyBorder="1" applyAlignment="1">
      <alignment horizontal="center" vertical="center"/>
    </xf>
    <xf numFmtId="0" fontId="34" fillId="0" borderId="2" xfId="0" applyFont="1" applyBorder="1" applyAlignment="1">
      <alignment horizontal="center" vertical="center"/>
    </xf>
    <xf numFmtId="0" fontId="34" fillId="0" borderId="4" xfId="0" applyFont="1" applyBorder="1" applyAlignment="1">
      <alignment horizontal="center" vertical="center"/>
    </xf>
    <xf numFmtId="0" fontId="34" fillId="0" borderId="14" xfId="0" applyFont="1" applyBorder="1" applyAlignment="1">
      <alignment horizontal="center" vertical="center"/>
    </xf>
    <xf numFmtId="0" fontId="34" fillId="0" borderId="15" xfId="0" applyFont="1" applyBorder="1" applyAlignment="1">
      <alignment horizontal="center" vertical="center"/>
    </xf>
    <xf numFmtId="0" fontId="34" fillId="0" borderId="5" xfId="0" applyFont="1" applyBorder="1" applyAlignment="1">
      <alignment horizontal="center" vertical="center"/>
    </xf>
    <xf numFmtId="0" fontId="34" fillId="0" borderId="7" xfId="0" applyFont="1" applyBorder="1" applyAlignment="1">
      <alignment horizontal="center" vertical="center"/>
    </xf>
    <xf numFmtId="0" fontId="21" fillId="0" borderId="0" xfId="0" applyFont="1" applyAlignment="1">
      <alignment horizontal="center" vertical="center"/>
    </xf>
    <xf numFmtId="0" fontId="34" fillId="28" borderId="2" xfId="0" applyFont="1" applyFill="1" applyBorder="1" applyAlignment="1">
      <alignment horizontal="center" vertical="center" wrapText="1"/>
    </xf>
    <xf numFmtId="0" fontId="34" fillId="28" borderId="3" xfId="0" applyFont="1" applyFill="1" applyBorder="1" applyAlignment="1">
      <alignment horizontal="center" vertical="center" wrapText="1"/>
    </xf>
    <xf numFmtId="0" fontId="34" fillId="28" borderId="4" xfId="0" applyFont="1" applyFill="1" applyBorder="1" applyAlignment="1">
      <alignment horizontal="center" vertical="center" wrapText="1"/>
    </xf>
    <xf numFmtId="0" fontId="36" fillId="0" borderId="14" xfId="0" applyFont="1" applyBorder="1" applyAlignment="1">
      <alignment horizontal="center" vertical="center" wrapText="1"/>
    </xf>
    <xf numFmtId="0" fontId="36" fillId="0" borderId="0" xfId="0" applyFont="1" applyAlignment="1">
      <alignment horizontal="center" vertical="center" wrapText="1"/>
    </xf>
    <xf numFmtId="0" fontId="36" fillId="0" borderId="15" xfId="0" applyFont="1" applyBorder="1" applyAlignment="1">
      <alignment horizontal="center" vertical="center" wrapText="1"/>
    </xf>
    <xf numFmtId="0" fontId="36" fillId="0" borderId="5" xfId="0" applyFont="1" applyBorder="1" applyAlignment="1">
      <alignment horizontal="center" vertical="center" wrapText="1"/>
    </xf>
    <xf numFmtId="0" fontId="36" fillId="0" borderId="6" xfId="0" applyFont="1" applyBorder="1" applyAlignment="1">
      <alignment horizontal="center" vertical="center" wrapText="1"/>
    </xf>
    <xf numFmtId="0" fontId="36" fillId="0" borderId="7" xfId="0" applyFont="1" applyBorder="1" applyAlignment="1">
      <alignment horizontal="center" vertical="center" wrapText="1"/>
    </xf>
    <xf numFmtId="0" fontId="21" fillId="0" borderId="14" xfId="0" applyFont="1" applyBorder="1" applyAlignment="1">
      <alignment horizontal="center" vertical="center"/>
    </xf>
    <xf numFmtId="0" fontId="21" fillId="0" borderId="15" xfId="0" applyFont="1" applyBorder="1" applyAlignment="1">
      <alignment horizontal="center" vertical="center"/>
    </xf>
    <xf numFmtId="0" fontId="34" fillId="20" borderId="2" xfId="0" applyFont="1" applyFill="1" applyBorder="1" applyAlignment="1">
      <alignment horizontal="center" vertical="center" wrapText="1"/>
    </xf>
    <xf numFmtId="0" fontId="34" fillId="20" borderId="3" xfId="0" applyFont="1" applyFill="1" applyBorder="1" applyAlignment="1">
      <alignment horizontal="center" vertical="center" wrapText="1"/>
    </xf>
    <xf numFmtId="0" fontId="34" fillId="20" borderId="4" xfId="0" applyFont="1" applyFill="1" applyBorder="1" applyAlignment="1">
      <alignment horizontal="center" vertical="center" wrapText="1"/>
    </xf>
    <xf numFmtId="0" fontId="6" fillId="0" borderId="0" xfId="0" applyFont="1" applyAlignment="1" applyProtection="1">
      <alignment horizontal="left" vertical="top" wrapText="1"/>
      <protection locked="0"/>
    </xf>
    <xf numFmtId="0" fontId="6" fillId="0" borderId="0" xfId="0" applyFont="1" applyAlignment="1" applyProtection="1">
      <alignment horizontal="left" vertical="top"/>
      <protection locked="0"/>
    </xf>
    <xf numFmtId="0" fontId="34" fillId="20" borderId="2" xfId="0" applyFont="1" applyFill="1" applyBorder="1" applyAlignment="1">
      <alignment horizontal="center" vertical="center"/>
    </xf>
    <xf numFmtId="0" fontId="34" fillId="20" borderId="4" xfId="0" applyFont="1" applyFill="1" applyBorder="1" applyAlignment="1">
      <alignment horizontal="center" vertical="center"/>
    </xf>
    <xf numFmtId="0" fontId="34" fillId="20" borderId="14" xfId="0" applyFont="1" applyFill="1" applyBorder="1" applyAlignment="1">
      <alignment horizontal="center" vertical="center"/>
    </xf>
    <xf numFmtId="0" fontId="34" fillId="20" borderId="15" xfId="0" applyFont="1" applyFill="1" applyBorder="1" applyAlignment="1">
      <alignment horizontal="center" vertical="center"/>
    </xf>
    <xf numFmtId="0" fontId="34" fillId="20" borderId="5" xfId="0" applyFont="1" applyFill="1" applyBorder="1" applyAlignment="1">
      <alignment horizontal="center" vertical="center"/>
    </xf>
    <xf numFmtId="0" fontId="34" fillId="20" borderId="7" xfId="0" applyFont="1" applyFill="1" applyBorder="1" applyAlignment="1">
      <alignment horizontal="center" vertical="center"/>
    </xf>
    <xf numFmtId="0" fontId="38" fillId="25" borderId="2" xfId="0" applyFont="1" applyFill="1" applyBorder="1" applyAlignment="1">
      <alignment horizontal="center" vertical="center"/>
    </xf>
    <xf numFmtId="0" fontId="38" fillId="25" borderId="4" xfId="0" applyFont="1" applyFill="1" applyBorder="1" applyAlignment="1">
      <alignment horizontal="center" vertical="center"/>
    </xf>
    <xf numFmtId="0" fontId="38" fillId="25" borderId="14" xfId="0" applyFont="1" applyFill="1" applyBorder="1" applyAlignment="1">
      <alignment horizontal="center" vertical="center"/>
    </xf>
    <xf numFmtId="0" fontId="38" fillId="25" borderId="15" xfId="0" applyFont="1" applyFill="1" applyBorder="1" applyAlignment="1">
      <alignment horizontal="center" vertical="center"/>
    </xf>
    <xf numFmtId="0" fontId="38" fillId="25" borderId="5" xfId="0" applyFont="1" applyFill="1" applyBorder="1" applyAlignment="1">
      <alignment horizontal="center" vertical="center"/>
    </xf>
    <xf numFmtId="0" fontId="38" fillId="25" borderId="7" xfId="0" applyFont="1" applyFill="1" applyBorder="1" applyAlignment="1">
      <alignment horizontal="center" vertical="center"/>
    </xf>
    <xf numFmtId="0" fontId="40" fillId="8" borderId="2" xfId="0" applyFont="1" applyFill="1" applyBorder="1" applyAlignment="1">
      <alignment horizontal="center" vertical="center" wrapText="1"/>
    </xf>
    <xf numFmtId="0" fontId="40" fillId="8" borderId="4" xfId="0" applyFont="1" applyFill="1" applyBorder="1" applyAlignment="1">
      <alignment horizontal="center" vertical="center" wrapText="1"/>
    </xf>
    <xf numFmtId="0" fontId="40" fillId="8" borderId="14" xfId="0" applyFont="1" applyFill="1" applyBorder="1" applyAlignment="1">
      <alignment horizontal="center" vertical="center" wrapText="1"/>
    </xf>
    <xf numFmtId="0" fontId="40" fillId="8" borderId="15" xfId="0" applyFont="1" applyFill="1" applyBorder="1" applyAlignment="1">
      <alignment horizontal="center" vertical="center" wrapText="1"/>
    </xf>
    <xf numFmtId="0" fontId="40" fillId="8" borderId="5" xfId="0" applyFont="1" applyFill="1" applyBorder="1" applyAlignment="1">
      <alignment horizontal="center" vertical="center" wrapText="1"/>
    </xf>
    <xf numFmtId="0" fontId="40" fillId="8" borderId="7" xfId="0" applyFont="1" applyFill="1" applyBorder="1" applyAlignment="1">
      <alignment horizontal="center" vertical="center" wrapText="1"/>
    </xf>
    <xf numFmtId="0" fontId="6" fillId="0" borderId="2" xfId="0" applyFont="1" applyBorder="1" applyAlignment="1">
      <alignment vertical="center" wrapText="1"/>
    </xf>
    <xf numFmtId="0" fontId="6" fillId="0" borderId="3" xfId="0" applyFont="1" applyBorder="1" applyAlignment="1">
      <alignment vertical="center" wrapText="1"/>
    </xf>
    <xf numFmtId="0" fontId="6" fillId="0" borderId="14" xfId="0" applyFont="1" applyBorder="1" applyAlignment="1">
      <alignment vertical="center" wrapText="1"/>
    </xf>
    <xf numFmtId="0" fontId="6" fillId="0" borderId="0" xfId="0" applyFont="1" applyAlignment="1">
      <alignment vertical="center" wrapText="1"/>
    </xf>
    <xf numFmtId="0" fontId="6" fillId="0" borderId="5" xfId="0" applyFont="1" applyBorder="1" applyAlignment="1">
      <alignment vertical="center" wrapText="1"/>
    </xf>
    <xf numFmtId="0" fontId="6" fillId="0" borderId="6" xfId="0" applyFont="1" applyBorder="1" applyAlignment="1">
      <alignment vertical="center" wrapText="1"/>
    </xf>
    <xf numFmtId="0" fontId="6" fillId="0" borderId="1" xfId="0" applyFont="1" applyBorder="1" applyAlignment="1">
      <alignment horizontal="center" vertical="center"/>
    </xf>
    <xf numFmtId="0" fontId="34" fillId="26" borderId="1" xfId="0" applyFont="1" applyFill="1" applyBorder="1" applyAlignment="1">
      <alignment horizontal="center" vertical="center"/>
    </xf>
    <xf numFmtId="0" fontId="34" fillId="20" borderId="1" xfId="0" applyFont="1" applyFill="1" applyBorder="1" applyAlignment="1">
      <alignment horizontal="center" vertical="center"/>
    </xf>
    <xf numFmtId="0" fontId="34" fillId="25" borderId="1" xfId="0" applyFont="1" applyFill="1" applyBorder="1" applyAlignment="1">
      <alignment horizontal="center" vertical="center"/>
    </xf>
    <xf numFmtId="0" fontId="36" fillId="0" borderId="0" xfId="0" applyFont="1" applyAlignment="1">
      <alignment vertical="center" shrinkToFit="1"/>
    </xf>
    <xf numFmtId="0" fontId="36" fillId="26" borderId="8" xfId="0" applyFont="1" applyFill="1" applyBorder="1" applyAlignment="1">
      <alignment horizontal="center" vertical="center"/>
    </xf>
    <xf numFmtId="0" fontId="36" fillId="26" borderId="9" xfId="0" applyFont="1" applyFill="1" applyBorder="1" applyAlignment="1">
      <alignment horizontal="center" vertical="center"/>
    </xf>
    <xf numFmtId="0" fontId="36" fillId="26" borderId="10" xfId="0" applyFont="1" applyFill="1" applyBorder="1" applyAlignment="1">
      <alignment horizontal="center" vertical="center"/>
    </xf>
    <xf numFmtId="0" fontId="36" fillId="20" borderId="10" xfId="0" applyFont="1" applyFill="1" applyBorder="1" applyAlignment="1">
      <alignment horizontal="center" vertical="center"/>
    </xf>
    <xf numFmtId="0" fontId="36" fillId="0" borderId="1" xfId="0" applyFont="1" applyBorder="1" applyAlignment="1">
      <alignment horizontal="center" vertical="center"/>
    </xf>
    <xf numFmtId="0" fontId="17" fillId="0" borderId="2"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4" xfId="0" applyFont="1" applyBorder="1" applyAlignment="1">
      <alignment horizontal="center" vertical="center"/>
    </xf>
    <xf numFmtId="0" fontId="17" fillId="0" borderId="0" xfId="0" applyFont="1" applyAlignment="1">
      <alignment horizontal="center" vertical="center"/>
    </xf>
    <xf numFmtId="0" fontId="17" fillId="0" borderId="15" xfId="0" applyFont="1" applyBorder="1" applyAlignment="1">
      <alignment horizontal="center" vertical="center"/>
    </xf>
    <xf numFmtId="0" fontId="17" fillId="0" borderId="5" xfId="0" applyFont="1" applyBorder="1" applyAlignment="1">
      <alignment horizontal="center" vertical="center"/>
    </xf>
    <xf numFmtId="0" fontId="17" fillId="0" borderId="6" xfId="0" applyFont="1" applyBorder="1" applyAlignment="1">
      <alignment horizontal="center" vertical="center"/>
    </xf>
    <xf numFmtId="0" fontId="17" fillId="0" borderId="7" xfId="0" applyFont="1" applyBorder="1" applyAlignment="1">
      <alignment horizontal="center" vertical="center"/>
    </xf>
    <xf numFmtId="0" fontId="5" fillId="0" borderId="11" xfId="0" applyFont="1" applyBorder="1" applyAlignment="1">
      <alignment horizontal="center" vertical="center"/>
    </xf>
    <xf numFmtId="0" fontId="5" fillId="0" borderId="12" xfId="0" applyFont="1" applyBorder="1" applyAlignment="1">
      <alignment horizontal="center" vertical="center"/>
    </xf>
    <xf numFmtId="0" fontId="5" fillId="0" borderId="13" xfId="0" applyFont="1" applyBorder="1" applyAlignment="1">
      <alignment horizontal="center" vertical="center"/>
    </xf>
    <xf numFmtId="0" fontId="36" fillId="0" borderId="8" xfId="0" applyFont="1" applyBorder="1" applyAlignment="1">
      <alignment horizontal="center" vertical="center"/>
    </xf>
    <xf numFmtId="0" fontId="36" fillId="0" borderId="9" xfId="0" applyFont="1" applyBorder="1" applyAlignment="1">
      <alignment horizontal="center" vertical="center"/>
    </xf>
    <xf numFmtId="0" fontId="36" fillId="0" borderId="10" xfId="0" applyFont="1" applyBorder="1" applyAlignment="1">
      <alignment horizontal="center" vertical="center"/>
    </xf>
    <xf numFmtId="0" fontId="36" fillId="22" borderId="8" xfId="0" applyFont="1" applyFill="1" applyBorder="1" applyAlignment="1">
      <alignment horizontal="center" vertical="center"/>
    </xf>
    <xf numFmtId="0" fontId="36" fillId="22" borderId="9" xfId="0" applyFont="1" applyFill="1" applyBorder="1" applyAlignment="1">
      <alignment horizontal="center" vertical="center"/>
    </xf>
    <xf numFmtId="0" fontId="36" fillId="22" borderId="10" xfId="0" applyFont="1" applyFill="1" applyBorder="1" applyAlignment="1">
      <alignment horizontal="center" vertical="center"/>
    </xf>
    <xf numFmtId="0" fontId="34" fillId="22" borderId="1" xfId="0" applyFont="1" applyFill="1" applyBorder="1" applyAlignment="1">
      <alignment horizontal="center" vertical="center"/>
    </xf>
    <xf numFmtId="0" fontId="66" fillId="0" borderId="2" xfId="0" applyFont="1" applyBorder="1" applyAlignment="1">
      <alignment horizontal="center" vertical="center"/>
    </xf>
    <xf numFmtId="0" fontId="66" fillId="0" borderId="14" xfId="0" applyFont="1" applyBorder="1" applyAlignment="1">
      <alignment horizontal="center" vertical="center"/>
    </xf>
    <xf numFmtId="0" fontId="34" fillId="0" borderId="3" xfId="0" applyFont="1" applyBorder="1" applyAlignment="1">
      <alignment horizontal="left" vertical="center" wrapText="1"/>
    </xf>
    <xf numFmtId="0" fontId="34" fillId="0" borderId="0" xfId="0" applyFont="1" applyAlignment="1">
      <alignment horizontal="left" vertical="center" wrapText="1"/>
    </xf>
    <xf numFmtId="0" fontId="34" fillId="0" borderId="6" xfId="0" applyFont="1" applyBorder="1" applyAlignment="1">
      <alignment horizontal="left" vertical="center" wrapText="1"/>
    </xf>
    <xf numFmtId="0" fontId="6" fillId="0" borderId="4" xfId="0" applyFont="1" applyBorder="1" applyAlignment="1">
      <alignment horizontal="left" vertical="center" wrapText="1"/>
    </xf>
    <xf numFmtId="0" fontId="6" fillId="0" borderId="15" xfId="0" applyFont="1" applyBorder="1" applyAlignment="1">
      <alignment horizontal="left" vertical="center" wrapText="1"/>
    </xf>
    <xf numFmtId="0" fontId="6" fillId="0" borderId="7" xfId="0" applyFont="1" applyBorder="1" applyAlignment="1">
      <alignment horizontal="left" vertical="center" wrapText="1"/>
    </xf>
    <xf numFmtId="0" fontId="67" fillId="0" borderId="0" xfId="0" applyFont="1" applyAlignment="1">
      <alignment horizontal="left" vertical="center" wrapText="1"/>
    </xf>
    <xf numFmtId="0" fontId="67" fillId="0" borderId="6" xfId="0" applyFont="1" applyBorder="1" applyAlignment="1">
      <alignment horizontal="left" vertical="center" wrapText="1"/>
    </xf>
    <xf numFmtId="0" fontId="6" fillId="0" borderId="1" xfId="0" applyFont="1" applyBorder="1" applyAlignment="1">
      <alignment horizontal="left" vertical="center"/>
    </xf>
    <xf numFmtId="0" fontId="6" fillId="0" borderId="0" xfId="0" applyFont="1" applyAlignment="1">
      <alignment horizontal="left" vertical="center"/>
    </xf>
    <xf numFmtId="0" fontId="5" fillId="0" borderId="0" xfId="0" applyFont="1" applyAlignment="1">
      <alignment horizontal="left" vertical="center"/>
    </xf>
    <xf numFmtId="0" fontId="6" fillId="0" borderId="7" xfId="0" applyFont="1" applyBorder="1" applyAlignment="1">
      <alignment horizontal="left" vertical="center" wrapText="1" shrinkToFit="1"/>
    </xf>
    <xf numFmtId="0" fontId="6" fillId="0" borderId="13" xfId="0" applyFont="1" applyBorder="1" applyAlignment="1">
      <alignment horizontal="left" vertical="center" wrapText="1" shrinkToFit="1"/>
    </xf>
    <xf numFmtId="0" fontId="6" fillId="0" borderId="5" xfId="0" applyFont="1" applyBorder="1" applyAlignment="1">
      <alignment horizontal="left" vertical="center" wrapText="1" shrinkToFit="1"/>
    </xf>
    <xf numFmtId="0" fontId="6" fillId="0" borderId="10" xfId="0" applyFont="1" applyBorder="1" applyAlignment="1">
      <alignment horizontal="left" vertical="center" wrapText="1" shrinkToFit="1"/>
    </xf>
    <xf numFmtId="0" fontId="6" fillId="0" borderId="1" xfId="0" applyFont="1" applyBorder="1" applyAlignment="1">
      <alignment horizontal="left" vertical="center" wrapText="1" shrinkToFit="1"/>
    </xf>
    <xf numFmtId="0" fontId="6" fillId="0" borderId="8" xfId="0" applyFont="1" applyBorder="1" applyAlignment="1">
      <alignment horizontal="left" vertical="center" wrapText="1" shrinkToFit="1"/>
    </xf>
    <xf numFmtId="0" fontId="34" fillId="8" borderId="1" xfId="0" applyFont="1" applyFill="1" applyBorder="1" applyAlignment="1">
      <alignment horizontal="center" vertical="center" shrinkToFit="1"/>
    </xf>
    <xf numFmtId="0" fontId="34" fillId="22" borderId="1" xfId="0" applyFont="1" applyFill="1" applyBorder="1" applyAlignment="1">
      <alignment horizontal="center" vertical="center" shrinkToFit="1"/>
    </xf>
    <xf numFmtId="0" fontId="34" fillId="23" borderId="1" xfId="0" applyFont="1" applyFill="1" applyBorder="1" applyAlignment="1">
      <alignment horizontal="center" vertical="center" shrinkToFit="1"/>
    </xf>
    <xf numFmtId="0" fontId="69" fillId="0" borderId="9" xfId="0" applyFont="1" applyBorder="1" applyAlignment="1">
      <alignment horizontal="center" vertical="center"/>
    </xf>
    <xf numFmtId="0" fontId="6" fillId="0" borderId="14" xfId="0" applyFont="1" applyBorder="1" applyAlignment="1">
      <alignment horizontal="center" vertical="center"/>
    </xf>
    <xf numFmtId="0" fontId="6" fillId="0" borderId="0" xfId="0" applyFont="1" applyAlignment="1">
      <alignment horizontal="center" vertical="center"/>
    </xf>
    <xf numFmtId="0" fontId="6" fillId="0" borderId="15" xfId="0" applyFont="1" applyBorder="1" applyAlignment="1">
      <alignment horizontal="center" vertical="center"/>
    </xf>
    <xf numFmtId="0" fontId="6" fillId="0" borderId="5" xfId="0" applyFont="1" applyBorder="1" applyAlignment="1">
      <alignment horizontal="center" vertic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4" xfId="0" applyFont="1" applyBorder="1" applyAlignment="1">
      <alignment horizontal="center" vertical="center"/>
    </xf>
    <xf numFmtId="0" fontId="5" fillId="0" borderId="3" xfId="0" applyFont="1" applyBorder="1" applyAlignment="1">
      <alignment horizontal="center" vertical="center"/>
    </xf>
    <xf numFmtId="0" fontId="12" fillId="18" borderId="2" xfId="0" applyFont="1" applyFill="1" applyBorder="1" applyAlignment="1">
      <alignment horizontal="center" vertical="center"/>
    </xf>
    <xf numFmtId="0" fontId="12" fillId="18" borderId="14" xfId="0" applyFont="1" applyFill="1" applyBorder="1" applyAlignment="1">
      <alignment horizontal="center" vertical="center"/>
    </xf>
    <xf numFmtId="0" fontId="0" fillId="19" borderId="4" xfId="0" applyFill="1" applyBorder="1" applyAlignment="1">
      <alignment horizontal="left" vertical="center"/>
    </xf>
    <xf numFmtId="0" fontId="0" fillId="19" borderId="15" xfId="0" applyFill="1" applyBorder="1" applyAlignment="1">
      <alignment horizontal="left" vertical="center"/>
    </xf>
    <xf numFmtId="0" fontId="50" fillId="13" borderId="2" xfId="0" applyFont="1" applyFill="1" applyBorder="1" applyAlignment="1">
      <alignment horizontal="center" vertical="center"/>
    </xf>
    <xf numFmtId="0" fontId="50" fillId="13" borderId="3" xfId="0" applyFont="1" applyFill="1" applyBorder="1" applyAlignment="1">
      <alignment horizontal="center" vertical="center"/>
    </xf>
    <xf numFmtId="0" fontId="50" fillId="13" borderId="4" xfId="0" applyFont="1" applyFill="1" applyBorder="1" applyAlignment="1">
      <alignment horizontal="center" vertical="center"/>
    </xf>
    <xf numFmtId="0" fontId="50" fillId="13" borderId="14" xfId="0" applyFont="1" applyFill="1" applyBorder="1" applyAlignment="1">
      <alignment horizontal="center" vertical="center"/>
    </xf>
    <xf numFmtId="0" fontId="50" fillId="13" borderId="0" xfId="0" applyFont="1" applyFill="1" applyAlignment="1">
      <alignment horizontal="center" vertical="center"/>
    </xf>
    <xf numFmtId="0" fontId="50" fillId="13" borderId="15" xfId="0" applyFont="1" applyFill="1" applyBorder="1" applyAlignment="1">
      <alignment horizontal="center" vertical="center"/>
    </xf>
    <xf numFmtId="0" fontId="49" fillId="3" borderId="2" xfId="0" applyFont="1" applyFill="1" applyBorder="1" applyAlignment="1">
      <alignment horizontal="center" vertical="center"/>
    </xf>
    <xf numFmtId="0" fontId="49" fillId="3" borderId="4" xfId="0" applyFont="1" applyFill="1" applyBorder="1" applyAlignment="1">
      <alignment horizontal="center" vertical="center"/>
    </xf>
    <xf numFmtId="0" fontId="49" fillId="3" borderId="14" xfId="0" applyFont="1" applyFill="1" applyBorder="1" applyAlignment="1">
      <alignment horizontal="center" vertical="center"/>
    </xf>
    <xf numFmtId="0" fontId="49" fillId="3" borderId="15" xfId="0" applyFont="1" applyFill="1" applyBorder="1" applyAlignment="1">
      <alignment horizontal="center" vertical="center"/>
    </xf>
    <xf numFmtId="0" fontId="49" fillId="14" borderId="2" xfId="0" applyFont="1" applyFill="1" applyBorder="1" applyAlignment="1">
      <alignment horizontal="center" vertical="center"/>
    </xf>
    <xf numFmtId="0" fontId="49" fillId="14" borderId="3" xfId="0" applyFont="1" applyFill="1" applyBorder="1" applyAlignment="1">
      <alignment horizontal="center" vertical="center"/>
    </xf>
    <xf numFmtId="0" fontId="49" fillId="14" borderId="4" xfId="0" applyFont="1" applyFill="1" applyBorder="1" applyAlignment="1">
      <alignment horizontal="center" vertical="center"/>
    </xf>
    <xf numFmtId="0" fontId="49" fillId="14" borderId="14" xfId="0" applyFont="1" applyFill="1" applyBorder="1" applyAlignment="1">
      <alignment horizontal="center" vertical="center"/>
    </xf>
    <xf numFmtId="0" fontId="49" fillId="14" borderId="0" xfId="0" applyFont="1" applyFill="1" applyAlignment="1">
      <alignment horizontal="center" vertical="center"/>
    </xf>
    <xf numFmtId="0" fontId="49" fillId="14" borderId="15" xfId="0" applyFont="1" applyFill="1" applyBorder="1" applyAlignment="1">
      <alignment horizontal="center" vertical="center"/>
    </xf>
    <xf numFmtId="0" fontId="49" fillId="15" borderId="2" xfId="0" applyFont="1" applyFill="1" applyBorder="1" applyAlignment="1">
      <alignment horizontal="center" vertical="center"/>
    </xf>
    <xf numFmtId="0" fontId="49" fillId="15" borderId="3" xfId="0" applyFont="1" applyFill="1" applyBorder="1" applyAlignment="1">
      <alignment horizontal="center" vertical="center"/>
    </xf>
    <xf numFmtId="0" fontId="49" fillId="15" borderId="4" xfId="0" applyFont="1" applyFill="1" applyBorder="1" applyAlignment="1">
      <alignment horizontal="center" vertical="center"/>
    </xf>
    <xf numFmtId="0" fontId="49" fillId="15" borderId="14" xfId="0" applyFont="1" applyFill="1" applyBorder="1" applyAlignment="1">
      <alignment horizontal="center" vertical="center"/>
    </xf>
    <xf numFmtId="0" fontId="49" fillId="15" borderId="0" xfId="0" applyFont="1" applyFill="1" applyAlignment="1">
      <alignment horizontal="center" vertical="center"/>
    </xf>
    <xf numFmtId="0" fontId="49" fillId="15" borderId="15" xfId="0" applyFont="1" applyFill="1" applyBorder="1" applyAlignment="1">
      <alignment horizontal="center" vertical="center"/>
    </xf>
    <xf numFmtId="49" fontId="51" fillId="15" borderId="5" xfId="0" applyNumberFormat="1" applyFont="1" applyFill="1" applyBorder="1" applyAlignment="1">
      <alignment horizontal="center" vertical="center"/>
    </xf>
    <xf numFmtId="49" fontId="51" fillId="15" borderId="6" xfId="0" applyNumberFormat="1" applyFont="1" applyFill="1" applyBorder="1" applyAlignment="1">
      <alignment horizontal="center" vertical="center"/>
    </xf>
    <xf numFmtId="49" fontId="51" fillId="15" borderId="7" xfId="0" applyNumberFormat="1" applyFont="1" applyFill="1" applyBorder="1" applyAlignment="1">
      <alignment horizontal="center" vertical="center"/>
    </xf>
    <xf numFmtId="0" fontId="49" fillId="11" borderId="2" xfId="0" applyFont="1" applyFill="1" applyBorder="1" applyAlignment="1">
      <alignment horizontal="center" vertical="center"/>
    </xf>
    <xf numFmtId="0" fontId="49" fillId="11" borderId="3" xfId="0" applyFont="1" applyFill="1" applyBorder="1" applyAlignment="1">
      <alignment horizontal="center" vertical="center"/>
    </xf>
    <xf numFmtId="0" fontId="49" fillId="11" borderId="4" xfId="0" applyFont="1" applyFill="1" applyBorder="1" applyAlignment="1">
      <alignment horizontal="center" vertical="center"/>
    </xf>
    <xf numFmtId="0" fontId="49" fillId="11" borderId="14" xfId="0" applyFont="1" applyFill="1" applyBorder="1" applyAlignment="1">
      <alignment horizontal="center" vertical="center"/>
    </xf>
    <xf numFmtId="0" fontId="49" fillId="11" borderId="0" xfId="0" applyFont="1" applyFill="1" applyAlignment="1">
      <alignment horizontal="center" vertical="center"/>
    </xf>
    <xf numFmtId="0" fontId="49" fillId="11" borderId="15" xfId="0" applyFont="1" applyFill="1" applyBorder="1" applyAlignment="1">
      <alignment horizontal="center" vertical="center"/>
    </xf>
    <xf numFmtId="49" fontId="51" fillId="16" borderId="5" xfId="0" applyNumberFormat="1" applyFont="1" applyFill="1" applyBorder="1" applyAlignment="1">
      <alignment horizontal="center" vertical="center"/>
    </xf>
    <xf numFmtId="49" fontId="51" fillId="16" borderId="6" xfId="0" applyNumberFormat="1" applyFont="1" applyFill="1" applyBorder="1" applyAlignment="1">
      <alignment horizontal="center" vertical="center"/>
    </xf>
    <xf numFmtId="49" fontId="51" fillId="16" borderId="7" xfId="0" applyNumberFormat="1" applyFont="1" applyFill="1" applyBorder="1" applyAlignment="1">
      <alignment horizontal="center" vertical="center"/>
    </xf>
    <xf numFmtId="0" fontId="49" fillId="16" borderId="2" xfId="0" applyFont="1" applyFill="1" applyBorder="1" applyAlignment="1">
      <alignment horizontal="center" vertical="center"/>
    </xf>
    <xf numFmtId="0" fontId="49" fillId="16" borderId="3" xfId="0" applyFont="1" applyFill="1" applyBorder="1" applyAlignment="1">
      <alignment horizontal="center" vertical="center"/>
    </xf>
    <xf numFmtId="0" fontId="49" fillId="16" borderId="4" xfId="0" applyFont="1" applyFill="1" applyBorder="1" applyAlignment="1">
      <alignment horizontal="center" vertical="center"/>
    </xf>
    <xf numFmtId="0" fontId="49" fillId="16" borderId="14" xfId="0" applyFont="1" applyFill="1" applyBorder="1" applyAlignment="1">
      <alignment horizontal="center" vertical="center"/>
    </xf>
    <xf numFmtId="0" fontId="49" fillId="16" borderId="0" xfId="0" applyFont="1" applyFill="1" applyAlignment="1">
      <alignment horizontal="center" vertical="center"/>
    </xf>
    <xf numFmtId="0" fontId="49" fillId="16" borderId="15" xfId="0" applyFont="1" applyFill="1" applyBorder="1" applyAlignment="1">
      <alignment horizontal="center" vertical="center"/>
    </xf>
    <xf numFmtId="0" fontId="34" fillId="20" borderId="1" xfId="0" applyFont="1" applyFill="1" applyBorder="1" applyAlignment="1">
      <alignment horizontal="center" vertical="center" shrinkToFit="1"/>
    </xf>
    <xf numFmtId="0" fontId="34" fillId="24" borderId="1" xfId="0" applyFont="1" applyFill="1" applyBorder="1" applyAlignment="1">
      <alignment horizontal="center" vertical="center" shrinkToFit="1"/>
    </xf>
    <xf numFmtId="0" fontId="49" fillId="10" borderId="2" xfId="0" applyFont="1" applyFill="1" applyBorder="1" applyAlignment="1">
      <alignment horizontal="center" vertical="center"/>
    </xf>
    <xf numFmtId="0" fontId="49" fillId="10" borderId="3" xfId="0" applyFont="1" applyFill="1" applyBorder="1" applyAlignment="1">
      <alignment horizontal="center" vertical="center"/>
    </xf>
    <xf numFmtId="0" fontId="49" fillId="10" borderId="4" xfId="0" applyFont="1" applyFill="1" applyBorder="1" applyAlignment="1">
      <alignment horizontal="center" vertical="center"/>
    </xf>
    <xf numFmtId="0" fontId="49" fillId="10" borderId="14" xfId="0" applyFont="1" applyFill="1" applyBorder="1" applyAlignment="1">
      <alignment horizontal="center" vertical="center"/>
    </xf>
    <xf numFmtId="0" fontId="49" fillId="10" borderId="0" xfId="0" applyFont="1" applyFill="1" applyAlignment="1">
      <alignment horizontal="center" vertical="center"/>
    </xf>
    <xf numFmtId="0" fontId="49" fillId="10" borderId="15" xfId="0" applyFont="1" applyFill="1" applyBorder="1" applyAlignment="1">
      <alignment horizontal="center" vertical="center"/>
    </xf>
    <xf numFmtId="0" fontId="6" fillId="0" borderId="2" xfId="0" applyFont="1" applyBorder="1" applyAlignment="1">
      <alignment horizontal="left" vertical="center" wrapText="1" shrinkToFit="1"/>
    </xf>
    <xf numFmtId="0" fontId="6" fillId="0" borderId="3" xfId="0" applyFont="1" applyBorder="1" applyAlignment="1">
      <alignment horizontal="left" vertical="center" wrapText="1" shrinkToFit="1"/>
    </xf>
    <xf numFmtId="0" fontId="6" fillId="0" borderId="4" xfId="0" applyFont="1" applyBorder="1" applyAlignment="1">
      <alignment horizontal="left" vertical="center" wrapText="1" shrinkToFit="1"/>
    </xf>
    <xf numFmtId="0" fontId="6" fillId="0" borderId="14" xfId="0" applyFont="1" applyBorder="1" applyAlignment="1">
      <alignment horizontal="left" vertical="center" wrapText="1" shrinkToFit="1"/>
    </xf>
    <xf numFmtId="0" fontId="6" fillId="0" borderId="0" xfId="0" applyFont="1" applyAlignment="1">
      <alignment horizontal="left" vertical="center" wrapText="1" shrinkToFit="1"/>
    </xf>
    <xf numFmtId="0" fontId="6" fillId="0" borderId="15" xfId="0" applyFont="1" applyBorder="1" applyAlignment="1">
      <alignment horizontal="left" vertical="center" wrapText="1" shrinkToFit="1"/>
    </xf>
    <xf numFmtId="0" fontId="6" fillId="0" borderId="6" xfId="0" applyFont="1" applyBorder="1" applyAlignment="1">
      <alignment horizontal="left" vertical="center" wrapText="1" shrinkToFit="1"/>
    </xf>
    <xf numFmtId="0" fontId="34" fillId="0" borderId="8" xfId="0" applyFont="1" applyBorder="1" applyAlignment="1">
      <alignment horizontal="center" vertical="center"/>
    </xf>
    <xf numFmtId="0" fontId="34" fillId="0" borderId="9" xfId="0" applyFont="1" applyBorder="1" applyAlignment="1">
      <alignment horizontal="center" vertical="center"/>
    </xf>
    <xf numFmtId="0" fontId="34" fillId="0" borderId="10" xfId="0" applyFont="1" applyBorder="1" applyAlignment="1">
      <alignment horizontal="center" vertical="center"/>
    </xf>
    <xf numFmtId="0" fontId="6" fillId="0" borderId="8" xfId="0" applyFont="1" applyBorder="1" applyAlignment="1">
      <alignment horizontal="right" vertical="center"/>
    </xf>
    <xf numFmtId="0" fontId="6" fillId="0" borderId="9" xfId="0" applyFont="1" applyBorder="1" applyAlignment="1">
      <alignment horizontal="right" vertical="center"/>
    </xf>
    <xf numFmtId="0" fontId="52" fillId="13" borderId="2" xfId="0" applyFont="1" applyFill="1" applyBorder="1" applyAlignment="1">
      <alignment horizontal="center" vertical="center"/>
    </xf>
    <xf numFmtId="0" fontId="52" fillId="13" borderId="3" xfId="0" applyFont="1" applyFill="1" applyBorder="1" applyAlignment="1">
      <alignment horizontal="center" vertical="center"/>
    </xf>
    <xf numFmtId="0" fontId="52" fillId="13" borderId="4" xfId="0" applyFont="1" applyFill="1" applyBorder="1" applyAlignment="1">
      <alignment horizontal="center" vertical="center"/>
    </xf>
    <xf numFmtId="0" fontId="52" fillId="13" borderId="14" xfId="0" applyFont="1" applyFill="1" applyBorder="1" applyAlignment="1">
      <alignment horizontal="center" vertical="center"/>
    </xf>
    <xf numFmtId="0" fontId="52" fillId="13" borderId="0" xfId="0" applyFont="1" applyFill="1" applyAlignment="1">
      <alignment horizontal="center" vertical="center"/>
    </xf>
    <xf numFmtId="0" fontId="52" fillId="13" borderId="15" xfId="0" applyFont="1" applyFill="1" applyBorder="1" applyAlignment="1">
      <alignment horizontal="center" vertical="center"/>
    </xf>
    <xf numFmtId="0" fontId="49" fillId="18" borderId="2" xfId="0" applyFont="1" applyFill="1" applyBorder="1" applyAlignment="1">
      <alignment horizontal="center" vertical="center"/>
    </xf>
    <xf numFmtId="0" fontId="49" fillId="18" borderId="14" xfId="0" applyFont="1" applyFill="1" applyBorder="1" applyAlignment="1">
      <alignment horizontal="center" vertical="center"/>
    </xf>
    <xf numFmtId="0" fontId="68" fillId="0" borderId="9" xfId="0" applyFont="1" applyBorder="1" applyAlignment="1">
      <alignment horizontal="center" vertical="center"/>
    </xf>
    <xf numFmtId="0" fontId="43" fillId="0" borderId="30" xfId="0" applyFont="1" applyBorder="1" applyAlignment="1">
      <alignment horizontal="center" vertical="center" wrapText="1"/>
    </xf>
    <xf numFmtId="0" fontId="43" fillId="0" borderId="35" xfId="0" applyFont="1" applyBorder="1" applyAlignment="1">
      <alignment horizontal="center" vertical="center" wrapText="1"/>
    </xf>
    <xf numFmtId="0" fontId="43" fillId="0" borderId="36" xfId="0" applyFont="1" applyBorder="1" applyAlignment="1">
      <alignment horizontal="center" vertical="center" wrapText="1"/>
    </xf>
    <xf numFmtId="0" fontId="38" fillId="28" borderId="0" xfId="0" applyFont="1" applyFill="1" applyAlignment="1">
      <alignment horizontal="center" vertical="center"/>
    </xf>
    <xf numFmtId="0" fontId="29" fillId="2" borderId="2" xfId="0" applyFont="1" applyFill="1" applyBorder="1" applyAlignment="1">
      <alignment horizontal="center" vertical="center"/>
    </xf>
    <xf numFmtId="0" fontId="30" fillId="2" borderId="3" xfId="0" applyFont="1" applyFill="1" applyBorder="1" applyAlignment="1">
      <alignment horizontal="center" vertical="center"/>
    </xf>
    <xf numFmtId="0" fontId="30" fillId="2" borderId="4" xfId="0" applyFont="1" applyFill="1" applyBorder="1" applyAlignment="1">
      <alignment horizontal="center" vertical="center"/>
    </xf>
    <xf numFmtId="0" fontId="30" fillId="2" borderId="5" xfId="0" applyFont="1" applyFill="1" applyBorder="1" applyAlignment="1">
      <alignment horizontal="center" vertical="center"/>
    </xf>
    <xf numFmtId="0" fontId="30" fillId="2" borderId="6" xfId="0" applyFont="1" applyFill="1" applyBorder="1" applyAlignment="1">
      <alignment horizontal="center" vertical="center"/>
    </xf>
    <xf numFmtId="0" fontId="30" fillId="2" borderId="7" xfId="0" applyFont="1" applyFill="1" applyBorder="1" applyAlignment="1">
      <alignment horizontal="center" vertical="center"/>
    </xf>
    <xf numFmtId="0" fontId="43" fillId="24" borderId="13" xfId="0" applyFont="1" applyFill="1" applyBorder="1" applyAlignment="1">
      <alignment horizontal="left" vertical="center"/>
    </xf>
    <xf numFmtId="0" fontId="43" fillId="24" borderId="1" xfId="0" applyFont="1" applyFill="1" applyBorder="1" applyAlignment="1">
      <alignment horizontal="left" vertical="center"/>
    </xf>
    <xf numFmtId="0" fontId="21" fillId="0" borderId="0" xfId="0" applyFont="1">
      <alignment vertical="center"/>
    </xf>
    <xf numFmtId="0" fontId="0" fillId="0" borderId="1" xfId="0" applyBorder="1" applyAlignment="1">
      <alignment horizontal="center" vertical="center"/>
    </xf>
    <xf numFmtId="0" fontId="16" fillId="24" borderId="1" xfId="0" applyFont="1" applyFill="1" applyBorder="1" applyAlignment="1">
      <alignment horizontal="left" vertical="center"/>
    </xf>
    <xf numFmtId="0" fontId="16" fillId="20" borderId="1" xfId="0" applyFont="1" applyFill="1" applyBorder="1" applyAlignment="1">
      <alignment horizontal="left" vertical="center"/>
    </xf>
    <xf numFmtId="0" fontId="43" fillId="20" borderId="1" xfId="0" applyFont="1" applyFill="1" applyBorder="1" applyAlignment="1">
      <alignment horizontal="left" vertical="center"/>
    </xf>
    <xf numFmtId="0" fontId="16" fillId="26" borderId="1" xfId="0" applyFont="1" applyFill="1" applyBorder="1" applyAlignment="1">
      <alignment horizontal="left" vertical="center"/>
    </xf>
    <xf numFmtId="0" fontId="43" fillId="26" borderId="1" xfId="0" applyFont="1" applyFill="1" applyBorder="1" applyAlignment="1">
      <alignment horizontal="left" vertical="center"/>
    </xf>
    <xf numFmtId="0" fontId="0" fillId="23" borderId="1" xfId="0" applyFill="1" applyBorder="1" applyAlignment="1">
      <alignment horizontal="right" vertical="center"/>
    </xf>
    <xf numFmtId="0" fontId="34" fillId="28" borderId="6" xfId="0" applyFont="1" applyFill="1" applyBorder="1" applyAlignment="1">
      <alignment horizontal="center" vertical="center"/>
    </xf>
    <xf numFmtId="0" fontId="36" fillId="24" borderId="13" xfId="0" applyFont="1" applyFill="1" applyBorder="1" applyAlignment="1">
      <alignment horizontal="left" vertical="center" shrinkToFit="1"/>
    </xf>
    <xf numFmtId="0" fontId="36" fillId="24" borderId="1" xfId="0" applyFont="1" applyFill="1" applyBorder="1" applyAlignment="1">
      <alignment horizontal="left" vertical="center" shrinkToFit="1"/>
    </xf>
    <xf numFmtId="0" fontId="44" fillId="0" borderId="1" xfId="0" applyFont="1" applyBorder="1" applyAlignment="1">
      <alignment horizontal="left" vertical="center" wrapText="1" shrinkToFit="1"/>
    </xf>
    <xf numFmtId="0" fontId="44" fillId="0" borderId="8" xfId="0" applyFont="1" applyBorder="1" applyAlignment="1">
      <alignment horizontal="left" vertical="center" wrapText="1" shrinkToFit="1"/>
    </xf>
    <xf numFmtId="0" fontId="44" fillId="0" borderId="9" xfId="0" applyFont="1" applyBorder="1" applyAlignment="1">
      <alignment horizontal="left" vertical="center" wrapText="1" shrinkToFit="1"/>
    </xf>
    <xf numFmtId="0" fontId="44" fillId="0" borderId="10" xfId="0" applyFont="1" applyBorder="1" applyAlignment="1">
      <alignment horizontal="left" vertical="center" wrapText="1" shrinkToFit="1"/>
    </xf>
    <xf numFmtId="0" fontId="6" fillId="8" borderId="5" xfId="0" applyFont="1" applyFill="1" applyBorder="1" applyAlignment="1">
      <alignment horizontal="center" vertical="center"/>
    </xf>
    <xf numFmtId="0" fontId="6" fillId="8" borderId="7" xfId="0" applyFont="1" applyFill="1" applyBorder="1" applyAlignment="1">
      <alignment horizontal="center" vertical="center"/>
    </xf>
    <xf numFmtId="0" fontId="6" fillId="0" borderId="5" xfId="0" applyFont="1" applyBorder="1" applyAlignment="1">
      <alignment horizontal="left" vertical="center" shrinkToFit="1"/>
    </xf>
    <xf numFmtId="0" fontId="6" fillId="0" borderId="9" xfId="0" applyFont="1" applyBorder="1" applyAlignment="1">
      <alignment horizontal="left" vertical="center" shrinkToFit="1"/>
    </xf>
    <xf numFmtId="0" fontId="6" fillId="0" borderId="10" xfId="0" applyFont="1" applyBorder="1" applyAlignment="1">
      <alignment horizontal="left" vertical="center" shrinkToFit="1"/>
    </xf>
    <xf numFmtId="0" fontId="6" fillId="8" borderId="8" xfId="0" applyFont="1" applyFill="1" applyBorder="1" applyAlignment="1">
      <alignment horizontal="center" vertical="center"/>
    </xf>
    <xf numFmtId="0" fontId="6" fillId="8" borderId="10" xfId="0" applyFont="1" applyFill="1" applyBorder="1" applyAlignment="1">
      <alignment horizontal="center" vertical="center"/>
    </xf>
    <xf numFmtId="0" fontId="6" fillId="0" borderId="8" xfId="0" applyFont="1" applyBorder="1" applyAlignment="1">
      <alignment horizontal="left" vertical="center" shrinkToFit="1"/>
    </xf>
    <xf numFmtId="0" fontId="44" fillId="0" borderId="13" xfId="0" applyFont="1" applyBorder="1" applyAlignment="1">
      <alignment horizontal="left" vertical="center" wrapText="1" shrinkToFit="1"/>
    </xf>
    <xf numFmtId="0" fontId="0" fillId="0" borderId="20" xfId="0" applyBorder="1" applyAlignment="1">
      <alignment horizontal="center" vertical="center" wrapText="1"/>
    </xf>
    <xf numFmtId="0" fontId="0" fillId="0" borderId="20" xfId="0" applyBorder="1" applyAlignment="1">
      <alignment horizontal="center" vertical="center"/>
    </xf>
    <xf numFmtId="0" fontId="21" fillId="0" borderId="7" xfId="0" applyFont="1" applyBorder="1" applyAlignment="1">
      <alignment horizontal="center" vertical="center"/>
    </xf>
    <xf numFmtId="0" fontId="21" fillId="0" borderId="4" xfId="0" applyFont="1" applyBorder="1" applyAlignment="1">
      <alignment horizontal="center" vertical="center"/>
    </xf>
    <xf numFmtId="0" fontId="34" fillId="24" borderId="11" xfId="0" applyFont="1" applyFill="1" applyBorder="1" applyAlignment="1">
      <alignment horizontal="center" vertical="center"/>
    </xf>
    <xf numFmtId="0" fontId="34" fillId="24" borderId="12" xfId="0" applyFont="1" applyFill="1" applyBorder="1" applyAlignment="1">
      <alignment horizontal="center" vertical="center"/>
    </xf>
    <xf numFmtId="0" fontId="34" fillId="24" borderId="13" xfId="0" applyFont="1" applyFill="1" applyBorder="1" applyAlignment="1">
      <alignment horizontal="center" vertical="center"/>
    </xf>
    <xf numFmtId="0" fontId="34" fillId="8" borderId="11" xfId="0" applyFont="1" applyFill="1" applyBorder="1" applyAlignment="1">
      <alignment horizontal="center" vertical="center"/>
    </xf>
    <xf numFmtId="0" fontId="34" fillId="8" borderId="12" xfId="0" applyFont="1" applyFill="1" applyBorder="1" applyAlignment="1">
      <alignment horizontal="center" vertical="center"/>
    </xf>
    <xf numFmtId="0" fontId="34" fillId="8" borderId="13" xfId="0" applyFont="1" applyFill="1" applyBorder="1" applyAlignment="1">
      <alignment horizontal="center" vertical="center"/>
    </xf>
    <xf numFmtId="0" fontId="0" fillId="0" borderId="1" xfId="0" applyBorder="1" applyAlignment="1">
      <alignment horizontal="center" vertical="center" wrapText="1"/>
    </xf>
    <xf numFmtId="0" fontId="37" fillId="28" borderId="14" xfId="0" applyFont="1" applyFill="1" applyBorder="1" applyAlignment="1">
      <alignment horizontal="left" vertical="center"/>
    </xf>
    <xf numFmtId="0" fontId="37" fillId="28" borderId="0" xfId="0" applyFont="1" applyFill="1" applyAlignment="1">
      <alignment horizontal="left"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21" fillId="0" borderId="15" xfId="0" applyFont="1" applyBorder="1" applyAlignment="1" applyProtection="1">
      <alignment horizontal="center" vertical="center"/>
      <protection locked="0"/>
    </xf>
    <xf numFmtId="0" fontId="21" fillId="0" borderId="7" xfId="0" applyFont="1" applyBorder="1" applyAlignment="1" applyProtection="1">
      <alignment horizontal="center" vertical="center"/>
      <protection locked="0"/>
    </xf>
    <xf numFmtId="0" fontId="21" fillId="0" borderId="4" xfId="0" applyFont="1" applyBorder="1" applyAlignment="1" applyProtection="1">
      <alignment horizontal="center" vertical="center"/>
      <protection locked="0"/>
    </xf>
    <xf numFmtId="0" fontId="0" fillId="8" borderId="8" xfId="0" applyFill="1" applyBorder="1" applyAlignment="1">
      <alignment horizontal="center" vertical="center"/>
    </xf>
    <xf numFmtId="0" fontId="0" fillId="8" borderId="10" xfId="0" applyFill="1" applyBorder="1" applyAlignment="1">
      <alignment horizontal="center" vertical="center"/>
    </xf>
    <xf numFmtId="0" fontId="0" fillId="8" borderId="1" xfId="0" applyFill="1" applyBorder="1" applyAlignment="1">
      <alignment horizontal="center" vertical="center"/>
    </xf>
    <xf numFmtId="0" fontId="0" fillId="8" borderId="1" xfId="0" applyFill="1" applyBorder="1" applyAlignment="1">
      <alignment horizontal="center" vertical="center" wrapText="1"/>
    </xf>
    <xf numFmtId="0" fontId="0" fillId="7" borderId="8"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1" xfId="0" applyFill="1" applyBorder="1" applyAlignment="1">
      <alignment horizontal="center" vertical="center"/>
    </xf>
    <xf numFmtId="0" fontId="10" fillId="7" borderId="1"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BEFFF"/>
      <color rgb="FFE5F5FF"/>
      <color rgb="FFFAEBFF"/>
      <color rgb="FFF8E5FF"/>
      <color rgb="FFE2509C"/>
      <color rgb="FFF7FCFF"/>
      <color rgb="FFFDF7FF"/>
      <color rgb="FFFEF2EC"/>
      <color rgb="FFFFF7E1"/>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5.png"/><Relationship Id="rId1" Type="http://schemas.openxmlformats.org/officeDocument/2006/relationships/image" Target="../media/image3.png"/><Relationship Id="rId6" Type="http://schemas.openxmlformats.org/officeDocument/2006/relationships/image" Target="../media/image10.png"/><Relationship Id="rId5" Type="http://schemas.openxmlformats.org/officeDocument/2006/relationships/image" Target="../media/image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image" Target="../media/image17.jpeg"/><Relationship Id="rId1" Type="http://schemas.openxmlformats.org/officeDocument/2006/relationships/image" Target="../media/image16.jpeg"/><Relationship Id="rId4"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image" Target="../media/image17.jpeg"/><Relationship Id="rId1" Type="http://schemas.openxmlformats.org/officeDocument/2006/relationships/image" Target="../media/image16.jpeg"/><Relationship Id="rId4"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0</xdr:col>
      <xdr:colOff>85725</xdr:colOff>
      <xdr:row>0</xdr:row>
      <xdr:rowOff>66675</xdr:rowOff>
    </xdr:from>
    <xdr:to>
      <xdr:col>12</xdr:col>
      <xdr:colOff>104775</xdr:colOff>
      <xdr:row>12</xdr:row>
      <xdr:rowOff>152400</xdr:rowOff>
    </xdr:to>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85725" y="66675"/>
          <a:ext cx="4333875" cy="2143125"/>
        </a:xfrm>
        <a:prstGeom prst="rect">
          <a:avLst/>
        </a:prstGeom>
        <a:solidFill>
          <a:srgbClr val="FFFF00"/>
        </a:solidFill>
        <a:ln w="5715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b="1"/>
            <a:t>≪入力に関して≫</a:t>
          </a:r>
          <a:endParaRPr kumimoji="1" lang="en-US" altLang="ja-JP" sz="1100" b="1"/>
        </a:p>
        <a:p>
          <a:pPr algn="l"/>
          <a:endParaRPr kumimoji="1" lang="en-US" altLang="ja-JP" sz="1100"/>
        </a:p>
        <a:p>
          <a:pPr algn="l"/>
          <a:r>
            <a:rPr kumimoji="1" lang="ja-JP" altLang="en-US" sz="1100">
              <a:solidFill>
                <a:srgbClr val="FF0000"/>
              </a:solidFill>
            </a:rPr>
            <a:t>入力は、シート</a:t>
          </a:r>
          <a:r>
            <a:rPr kumimoji="1" lang="en-US" altLang="ja-JP" sz="1100">
              <a:solidFill>
                <a:srgbClr val="FF0000"/>
              </a:solidFill>
            </a:rPr>
            <a:t>【</a:t>
          </a:r>
          <a:r>
            <a:rPr kumimoji="1" lang="ja-JP" altLang="en-US" sz="1100">
              <a:solidFill>
                <a:srgbClr val="FF0000"/>
              </a:solidFill>
            </a:rPr>
            <a:t>入力データ</a:t>
          </a:r>
          <a:r>
            <a:rPr kumimoji="1" lang="en-US" altLang="ja-JP" sz="1100">
              <a:solidFill>
                <a:srgbClr val="FF0000"/>
              </a:solidFill>
            </a:rPr>
            <a:t>】</a:t>
          </a:r>
          <a:r>
            <a:rPr kumimoji="1" lang="ja-JP" altLang="en-US" sz="1100">
              <a:solidFill>
                <a:srgbClr val="FF0000"/>
              </a:solidFill>
            </a:rPr>
            <a:t>、</a:t>
          </a:r>
          <a:r>
            <a:rPr kumimoji="1" lang="en-US" altLang="ja-JP" sz="1100">
              <a:solidFill>
                <a:srgbClr val="FF0000"/>
              </a:solidFill>
            </a:rPr>
            <a:t>【</a:t>
          </a:r>
          <a:r>
            <a:rPr kumimoji="1" lang="ja-JP" altLang="en-US" sz="1100">
              <a:solidFill>
                <a:srgbClr val="FF0000"/>
              </a:solidFill>
            </a:rPr>
            <a:t>６</a:t>
          </a:r>
          <a:r>
            <a:rPr kumimoji="1" lang="en-US" altLang="ja-JP" sz="1100">
              <a:solidFill>
                <a:srgbClr val="FF0000"/>
              </a:solidFill>
            </a:rPr>
            <a:t>】</a:t>
          </a:r>
          <a:r>
            <a:rPr kumimoji="1" lang="ja-JP" altLang="en-US" sz="1100">
              <a:solidFill>
                <a:srgbClr val="FF0000"/>
              </a:solidFill>
            </a:rPr>
            <a:t>、</a:t>
          </a:r>
          <a:r>
            <a:rPr kumimoji="1" lang="en-US" altLang="ja-JP" sz="1100">
              <a:solidFill>
                <a:srgbClr val="FF0000"/>
              </a:solidFill>
            </a:rPr>
            <a:t>【</a:t>
          </a:r>
          <a:r>
            <a:rPr kumimoji="1" lang="ja-JP" altLang="en-US" sz="1100">
              <a:solidFill>
                <a:srgbClr val="FF0000"/>
              </a:solidFill>
            </a:rPr>
            <a:t>９</a:t>
          </a:r>
          <a:r>
            <a:rPr kumimoji="1" lang="en-US" altLang="ja-JP" sz="1100">
              <a:solidFill>
                <a:srgbClr val="FF0000"/>
              </a:solidFill>
            </a:rPr>
            <a:t>】</a:t>
          </a:r>
          <a:r>
            <a:rPr kumimoji="1" lang="ja-JP" altLang="en-US" sz="1100">
              <a:solidFill>
                <a:srgbClr val="FF0000"/>
              </a:solidFill>
            </a:rPr>
            <a:t>のみ</a:t>
          </a:r>
          <a:r>
            <a:rPr kumimoji="1" lang="ja-JP" altLang="en-US" sz="1100"/>
            <a:t>になっています。</a:t>
          </a:r>
          <a:endParaRPr kumimoji="1" lang="en-US" altLang="ja-JP" sz="1100"/>
        </a:p>
        <a:p>
          <a:pPr algn="l"/>
          <a:endParaRPr kumimoji="1" lang="en-US" altLang="ja-JP" sz="1100"/>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各シートの指示に従って入力してください。</a:t>
          </a:r>
          <a:endParaRPr lang="ja-JP" altLang="ja-JP">
            <a:effectLst/>
          </a:endParaRPr>
        </a:p>
        <a:p>
          <a:pPr algn="l"/>
          <a:endParaRPr kumimoji="1" lang="en-US" altLang="ja-JP" sz="1100"/>
        </a:p>
        <a:p>
          <a:pPr algn="l"/>
          <a:r>
            <a:rPr kumimoji="1" lang="en-US" altLang="ja-JP" sz="1100"/>
            <a:t>※【</a:t>
          </a:r>
          <a:r>
            <a:rPr kumimoji="1" lang="ja-JP" altLang="en-US" sz="1100"/>
            <a:t>入力データ</a:t>
          </a:r>
          <a:r>
            <a:rPr kumimoji="1" lang="en-US" altLang="ja-JP" sz="1100"/>
            <a:t>】</a:t>
          </a:r>
          <a:r>
            <a:rPr kumimoji="1" lang="ja-JP" altLang="en-US" sz="1100"/>
            <a:t>を入力すると</a:t>
          </a:r>
          <a:r>
            <a:rPr kumimoji="1" lang="en-US" altLang="ja-JP" sz="1100"/>
            <a:t>【</a:t>
          </a:r>
          <a:r>
            <a:rPr kumimoji="1" lang="ja-JP" altLang="en-US" sz="1100"/>
            <a:t>１</a:t>
          </a:r>
          <a:r>
            <a:rPr kumimoji="1" lang="en-US" altLang="ja-JP" sz="1100"/>
            <a:t>】</a:t>
          </a:r>
          <a:r>
            <a:rPr kumimoji="1" lang="ja-JP" altLang="en-US" sz="1100"/>
            <a:t>～</a:t>
          </a:r>
          <a:r>
            <a:rPr kumimoji="1" lang="en-US" altLang="ja-JP" sz="1100"/>
            <a:t>【</a:t>
          </a:r>
          <a:r>
            <a:rPr kumimoji="1" lang="ja-JP" altLang="en-US" sz="1100"/>
            <a:t>５</a:t>
          </a:r>
          <a:r>
            <a:rPr kumimoji="1" lang="en-US" altLang="ja-JP" sz="1100"/>
            <a:t>】</a:t>
          </a:r>
          <a:r>
            <a:rPr kumimoji="1" lang="ja-JP" altLang="en-US" sz="1100"/>
            <a:t>、</a:t>
          </a:r>
          <a:r>
            <a:rPr kumimoji="1" lang="en-US" altLang="ja-JP" sz="1100"/>
            <a:t>【</a:t>
          </a:r>
          <a:r>
            <a:rPr kumimoji="1" lang="ja-JP" altLang="en-US" sz="1100"/>
            <a:t>７</a:t>
          </a:r>
          <a:r>
            <a:rPr kumimoji="1" lang="en-US" altLang="ja-JP" sz="1100"/>
            <a:t>】【</a:t>
          </a:r>
          <a:r>
            <a:rPr kumimoji="1" lang="ja-JP" altLang="en-US" sz="1100"/>
            <a:t>８</a:t>
          </a:r>
          <a:r>
            <a:rPr kumimoji="1" lang="en-US" altLang="ja-JP" sz="1100"/>
            <a:t>】【</a:t>
          </a:r>
          <a:r>
            <a:rPr kumimoji="1" lang="ja-JP" altLang="en-US" sz="1100"/>
            <a:t>１０</a:t>
          </a:r>
          <a:r>
            <a:rPr kumimoji="1" lang="en-US" altLang="ja-JP" sz="1100"/>
            <a:t>】</a:t>
          </a:r>
          <a:r>
            <a:rPr kumimoji="1" lang="ja-JP" altLang="en-US" sz="1100"/>
            <a:t>は完成します。</a:t>
          </a:r>
          <a:endParaRPr kumimoji="1" lang="en-US" altLang="ja-JP" sz="1100"/>
        </a:p>
        <a:p>
          <a:pPr algn="l"/>
          <a:endParaRPr kumimoji="1" lang="en-US" altLang="ja-JP" sz="1100"/>
        </a:p>
        <a:p>
          <a:pPr algn="l"/>
          <a:r>
            <a:rPr kumimoji="1" lang="ja-JP" altLang="en-US" sz="1100"/>
            <a:t>誤入力を避けるために、</a:t>
          </a:r>
          <a:endParaRPr kumimoji="1" lang="en-US" altLang="ja-JP" sz="1100"/>
        </a:p>
        <a:p>
          <a:pPr algn="l"/>
          <a:endParaRPr kumimoji="1" lang="en-US" altLang="ja-JP" sz="1100"/>
        </a:p>
        <a:p>
          <a:pPr algn="l"/>
          <a:r>
            <a:rPr kumimoji="1" lang="ja-JP" altLang="en-US" sz="1100"/>
            <a:t>前回のデータを消してから入力されることをおススメします。</a:t>
          </a:r>
        </a:p>
      </xdr:txBody>
    </xdr:sp>
    <xdr:clientData/>
  </xdr:twoCellAnchor>
  <xdr:twoCellAnchor>
    <xdr:from>
      <xdr:col>13</xdr:col>
      <xdr:colOff>0</xdr:colOff>
      <xdr:row>0</xdr:row>
      <xdr:rowOff>66676</xdr:rowOff>
    </xdr:from>
    <xdr:to>
      <xdr:col>19</xdr:col>
      <xdr:colOff>561975</xdr:colOff>
      <xdr:row>12</xdr:row>
      <xdr:rowOff>142875</xdr:rowOff>
    </xdr:to>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4619625" y="66676"/>
          <a:ext cx="4048125" cy="2133599"/>
        </a:xfrm>
        <a:prstGeom prst="rect">
          <a:avLst/>
        </a:prstGeom>
        <a:solidFill>
          <a:srgbClr val="FFFF00"/>
        </a:solidFill>
        <a:ln w="5715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b="1"/>
            <a:t>≪印刷に関して≫</a:t>
          </a:r>
          <a:endParaRPr kumimoji="1" lang="en-US" altLang="ja-JP" sz="1100" b="1"/>
        </a:p>
        <a:p>
          <a:pPr algn="l"/>
          <a:endParaRPr kumimoji="1" lang="en-US" altLang="ja-JP" sz="1100"/>
        </a:p>
        <a:p>
          <a:pPr algn="l"/>
          <a:r>
            <a:rPr kumimoji="1" lang="ja-JP" altLang="en-US" sz="1100"/>
            <a:t>シート</a:t>
          </a:r>
          <a:r>
            <a:rPr kumimoji="1" lang="en-US" altLang="ja-JP" sz="1100"/>
            <a:t>【</a:t>
          </a:r>
          <a:r>
            <a:rPr kumimoji="1" lang="ja-JP" altLang="en-US" sz="1100"/>
            <a:t>１</a:t>
          </a:r>
          <a:r>
            <a:rPr kumimoji="1" lang="en-US" altLang="ja-JP" sz="1100"/>
            <a:t>】</a:t>
          </a:r>
          <a:r>
            <a:rPr kumimoji="1" lang="ja-JP" altLang="en-US" sz="1100"/>
            <a:t>～</a:t>
          </a:r>
          <a:r>
            <a:rPr kumimoji="1" lang="en-US" altLang="ja-JP" sz="1100"/>
            <a:t>【</a:t>
          </a:r>
          <a:r>
            <a:rPr kumimoji="1" lang="ja-JP" altLang="en-US" sz="1100"/>
            <a:t>１０</a:t>
          </a:r>
          <a:r>
            <a:rPr kumimoji="1" lang="en-US" altLang="ja-JP" sz="1100"/>
            <a:t>】</a:t>
          </a:r>
          <a:r>
            <a:rPr kumimoji="1" lang="ja-JP" altLang="en-US" sz="1100"/>
            <a:t>をそれぞれ選択して印刷してください。</a:t>
          </a:r>
          <a:endParaRPr kumimoji="1" lang="en-US" altLang="ja-JP" sz="1100"/>
        </a:p>
        <a:p>
          <a:pPr algn="l"/>
          <a:endParaRPr kumimoji="1" lang="en-US" altLang="ja-JP" sz="1100"/>
        </a:p>
        <a:p>
          <a:pPr algn="l"/>
          <a:r>
            <a:rPr kumimoji="1" lang="ja-JP" altLang="en-US" sz="1100"/>
            <a:t>お客様の氏名など、データに誤りが無いか確認してから</a:t>
          </a:r>
          <a:endParaRPr kumimoji="1" lang="en-US" altLang="ja-JP" sz="1100"/>
        </a:p>
        <a:p>
          <a:pPr algn="l"/>
          <a:endParaRPr kumimoji="1" lang="en-US" altLang="ja-JP" sz="1100"/>
        </a:p>
        <a:p>
          <a:pPr algn="l"/>
          <a:r>
            <a:rPr kumimoji="1" lang="ja-JP" altLang="en-US" sz="1100"/>
            <a:t>送付の準備をしてください。</a:t>
          </a:r>
          <a:endParaRPr kumimoji="1" lang="en-US" altLang="ja-JP" sz="1100"/>
        </a:p>
      </xdr:txBody>
    </xdr:sp>
    <xdr:clientData/>
  </xdr:twoCellAnchor>
  <xdr:twoCellAnchor>
    <xdr:from>
      <xdr:col>20</xdr:col>
      <xdr:colOff>95250</xdr:colOff>
      <xdr:row>0</xdr:row>
      <xdr:rowOff>76200</xdr:rowOff>
    </xdr:from>
    <xdr:to>
      <xdr:col>24</xdr:col>
      <xdr:colOff>457200</xdr:colOff>
      <xdr:row>9</xdr:row>
      <xdr:rowOff>38100</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8886825" y="76200"/>
          <a:ext cx="3105150" cy="1504950"/>
        </a:xfrm>
        <a:prstGeom prst="rect">
          <a:avLst/>
        </a:prstGeom>
        <a:solidFill>
          <a:srgbClr val="FFFF00"/>
        </a:solidFill>
        <a:ln w="5715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ja-JP" altLang="en-US" sz="1100" b="1"/>
            <a:t>≪その他≫</a:t>
          </a:r>
          <a:endParaRPr kumimoji="1" lang="en-US" altLang="ja-JP" sz="1100" b="1"/>
        </a:p>
        <a:p>
          <a:pPr algn="l"/>
          <a:endParaRPr kumimoji="1" lang="en-US" altLang="ja-JP" sz="1100"/>
        </a:p>
        <a:p>
          <a:pPr algn="l"/>
          <a:r>
            <a:rPr kumimoji="1" lang="ja-JP" altLang="en-US" sz="1100"/>
            <a:t>誤字脱字、システムに誤りが見つかった場合は</a:t>
          </a:r>
          <a:endParaRPr kumimoji="1" lang="en-US" altLang="ja-JP" sz="1100"/>
        </a:p>
        <a:p>
          <a:pPr algn="l"/>
          <a:endParaRPr kumimoji="1" lang="en-US" altLang="ja-JP" sz="1100"/>
        </a:p>
        <a:p>
          <a:pPr algn="l"/>
          <a:r>
            <a:rPr kumimoji="1" lang="ja-JP" altLang="en-US" sz="1100"/>
            <a:t>修正後、最新版をお送りいたします。</a:t>
          </a:r>
          <a:endParaRPr kumimoji="1" lang="en-US" altLang="ja-JP" sz="1100"/>
        </a:p>
        <a:p>
          <a:pPr algn="l"/>
          <a:endParaRPr kumimoji="1" lang="en-US" altLang="ja-JP" sz="1100"/>
        </a:p>
        <a:p>
          <a:pPr algn="l"/>
          <a:r>
            <a:rPr kumimoji="1" lang="ja-JP" altLang="en-US" sz="1100"/>
            <a:t>主宰者　深澤までご連絡ください。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180975</xdr:colOff>
          <xdr:row>16</xdr:row>
          <xdr:rowOff>209550</xdr:rowOff>
        </xdr:from>
        <xdr:to>
          <xdr:col>13</xdr:col>
          <xdr:colOff>209550</xdr:colOff>
          <xdr:row>18</xdr:row>
          <xdr:rowOff>19050</xdr:rowOff>
        </xdr:to>
        <xdr:sp macro="" textlink="">
          <xdr:nvSpPr>
            <xdr:cNvPr id="1025" name="入力新規"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xdr:colOff>
      <xdr:row>32</xdr:row>
      <xdr:rowOff>19050</xdr:rowOff>
    </xdr:from>
    <xdr:to>
      <xdr:col>3</xdr:col>
      <xdr:colOff>9526</xdr:colOff>
      <xdr:row>37</xdr:row>
      <xdr:rowOff>152400</xdr:rowOff>
    </xdr:to>
    <xdr:sp macro="" textlink="">
      <xdr:nvSpPr>
        <xdr:cNvPr id="2" name="二等辺三角形 1">
          <a:extLst>
            <a:ext uri="{FF2B5EF4-FFF2-40B4-BE49-F238E27FC236}">
              <a16:creationId xmlns:a16="http://schemas.microsoft.com/office/drawing/2014/main" id="{00000000-0008-0000-0100-000002000000}"/>
            </a:ext>
          </a:extLst>
        </xdr:cNvPr>
        <xdr:cNvSpPr/>
      </xdr:nvSpPr>
      <xdr:spPr>
        <a:xfrm>
          <a:off x="1352551" y="6162675"/>
          <a:ext cx="685800" cy="990600"/>
        </a:xfrm>
        <a:prstGeom prst="triangl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66675</xdr:colOff>
      <xdr:row>52</xdr:row>
      <xdr:rowOff>19050</xdr:rowOff>
    </xdr:from>
    <xdr:to>
      <xdr:col>2</xdr:col>
      <xdr:colOff>600075</xdr:colOff>
      <xdr:row>52</xdr:row>
      <xdr:rowOff>83819</xdr:rowOff>
    </xdr:to>
    <xdr:sp macro="" textlink="">
      <xdr:nvSpPr>
        <xdr:cNvPr id="3" name="左右矢印 2">
          <a:extLst>
            <a:ext uri="{FF2B5EF4-FFF2-40B4-BE49-F238E27FC236}">
              <a16:creationId xmlns:a16="http://schemas.microsoft.com/office/drawing/2014/main" id="{00000000-0008-0000-0100-000003000000}"/>
            </a:ext>
          </a:extLst>
        </xdr:cNvPr>
        <xdr:cNvSpPr/>
      </xdr:nvSpPr>
      <xdr:spPr>
        <a:xfrm>
          <a:off x="1419225" y="9591675"/>
          <a:ext cx="533400" cy="64769"/>
        </a:xfrm>
        <a:prstGeom prst="leftRightArrow">
          <a:avLst/>
        </a:prstGeom>
        <a:solidFill>
          <a:schemeClr val="tx1">
            <a:lumMod val="50000"/>
            <a:lumOff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b="1" u="none"/>
        </a:p>
      </xdr:txBody>
    </xdr:sp>
    <xdr:clientData/>
  </xdr:twoCellAnchor>
  <xdr:twoCellAnchor editAs="oneCell">
    <xdr:from>
      <xdr:col>0</xdr:col>
      <xdr:colOff>1</xdr:colOff>
      <xdr:row>0</xdr:row>
      <xdr:rowOff>9526</xdr:rowOff>
    </xdr:from>
    <xdr:to>
      <xdr:col>18</xdr:col>
      <xdr:colOff>1</xdr:colOff>
      <xdr:row>0</xdr:row>
      <xdr:rowOff>180975</xdr:rowOff>
    </xdr:to>
    <xdr:pic>
      <xdr:nvPicPr>
        <xdr:cNvPr id="7" name="図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 y="9526"/>
          <a:ext cx="6991350" cy="1714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27214</xdr:rowOff>
    </xdr:from>
    <xdr:to>
      <xdr:col>13</xdr:col>
      <xdr:colOff>461289</xdr:colOff>
      <xdr:row>0</xdr:row>
      <xdr:rowOff>197917</xdr:rowOff>
    </xdr:to>
    <xdr:pic>
      <xdr:nvPicPr>
        <xdr:cNvPr id="11" name="図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0" y="27214"/>
          <a:ext cx="6992718" cy="170703"/>
        </a:xfrm>
        <a:prstGeom prst="rect">
          <a:avLst/>
        </a:prstGeom>
      </xdr:spPr>
    </xdr:pic>
    <xdr:clientData/>
  </xdr:twoCellAnchor>
  <xdr:twoCellAnchor editAs="oneCell">
    <xdr:from>
      <xdr:col>0</xdr:col>
      <xdr:colOff>0</xdr:colOff>
      <xdr:row>3</xdr:row>
      <xdr:rowOff>122466</xdr:rowOff>
    </xdr:from>
    <xdr:to>
      <xdr:col>4</xdr:col>
      <xdr:colOff>68035</xdr:colOff>
      <xdr:row>5</xdr:row>
      <xdr:rowOff>135120</xdr:rowOff>
    </xdr:to>
    <xdr:pic>
      <xdr:nvPicPr>
        <xdr:cNvPr id="17" name="図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102180"/>
          <a:ext cx="1687285" cy="4344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462801</xdr:colOff>
      <xdr:row>0</xdr:row>
      <xdr:rowOff>170703</xdr:rowOff>
    </xdr:to>
    <xdr:pic>
      <xdr:nvPicPr>
        <xdr:cNvPr id="8" name="図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69488</xdr:colOff>
      <xdr:row>6</xdr:row>
      <xdr:rowOff>20104</xdr:rowOff>
    </xdr:to>
    <xdr:pic>
      <xdr:nvPicPr>
        <xdr:cNvPr id="9" name="図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tretch>
          <a:fillRect/>
        </a:stretch>
      </xdr:blipFill>
      <xdr:spPr>
        <a:xfrm>
          <a:off x="0" y="1143000"/>
          <a:ext cx="1688738" cy="43285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462801</xdr:colOff>
      <xdr:row>0</xdr:row>
      <xdr:rowOff>170703</xdr:rowOff>
    </xdr:to>
    <xdr:pic>
      <xdr:nvPicPr>
        <xdr:cNvPr id="7" name="図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69488</xdr:colOff>
      <xdr:row>6</xdr:row>
      <xdr:rowOff>20104</xdr:rowOff>
    </xdr:to>
    <xdr:pic>
      <xdr:nvPicPr>
        <xdr:cNvPr id="8" name="図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2"/>
        <a:stretch>
          <a:fillRect/>
        </a:stretch>
      </xdr:blipFill>
      <xdr:spPr>
        <a:xfrm>
          <a:off x="0" y="1143000"/>
          <a:ext cx="1688738" cy="43285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10824</xdr:rowOff>
    </xdr:from>
    <xdr:to>
      <xdr:col>14</xdr:col>
      <xdr:colOff>76269</xdr:colOff>
      <xdr:row>0</xdr:row>
      <xdr:rowOff>129886</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0" y="10824"/>
          <a:ext cx="6992718" cy="119062"/>
        </a:xfrm>
        <a:prstGeom prst="rect">
          <a:avLst/>
        </a:prstGeom>
      </xdr:spPr>
    </xdr:pic>
    <xdr:clientData/>
  </xdr:twoCellAnchor>
  <xdr:twoCellAnchor editAs="oneCell">
    <xdr:from>
      <xdr:col>0</xdr:col>
      <xdr:colOff>0</xdr:colOff>
      <xdr:row>4</xdr:row>
      <xdr:rowOff>0</xdr:rowOff>
    </xdr:from>
    <xdr:to>
      <xdr:col>4</xdr:col>
      <xdr:colOff>162573</xdr:colOff>
      <xdr:row>6</xdr:row>
      <xdr:rowOff>21548</xdr:rowOff>
    </xdr:to>
    <xdr:pic>
      <xdr:nvPicPr>
        <xdr:cNvPr id="8" name="図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0" y="1147330"/>
          <a:ext cx="1688738" cy="43285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76269</xdr:colOff>
      <xdr:row>0</xdr:row>
      <xdr:rowOff>170703</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162573</xdr:colOff>
      <xdr:row>6</xdr:row>
      <xdr:rowOff>21548</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0" y="1147330"/>
          <a:ext cx="1688738" cy="43285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76269</xdr:colOff>
      <xdr:row>0</xdr:row>
      <xdr:rowOff>170703</xdr:rowOff>
    </xdr:to>
    <xdr:pic>
      <xdr:nvPicPr>
        <xdr:cNvPr id="4" name="図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162573</xdr:colOff>
      <xdr:row>6</xdr:row>
      <xdr:rowOff>21548</xdr:rowOff>
    </xdr:to>
    <xdr:pic>
      <xdr:nvPicPr>
        <xdr:cNvPr id="5" name="図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stretch>
          <a:fillRect/>
        </a:stretch>
      </xdr:blipFill>
      <xdr:spPr>
        <a:xfrm>
          <a:off x="0" y="1147330"/>
          <a:ext cx="1688738" cy="43285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597234</xdr:colOff>
      <xdr:row>0</xdr:row>
      <xdr:rowOff>170703</xdr:rowOff>
    </xdr:to>
    <xdr:pic>
      <xdr:nvPicPr>
        <xdr:cNvPr id="5" name="図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71703</xdr:colOff>
      <xdr:row>6</xdr:row>
      <xdr:rowOff>23057</xdr:rowOff>
    </xdr:to>
    <xdr:pic>
      <xdr:nvPicPr>
        <xdr:cNvPr id="6" name="図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2"/>
        <a:stretch>
          <a:fillRect/>
        </a:stretch>
      </xdr:blipFill>
      <xdr:spPr>
        <a:xfrm>
          <a:off x="0" y="1129709"/>
          <a:ext cx="1688738" cy="43285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597234</xdr:colOff>
      <xdr:row>0</xdr:row>
      <xdr:rowOff>170703</xdr:rowOff>
    </xdr:to>
    <xdr:pic>
      <xdr:nvPicPr>
        <xdr:cNvPr id="5" name="図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71703</xdr:colOff>
      <xdr:row>6</xdr:row>
      <xdr:rowOff>23057</xdr:rowOff>
    </xdr:to>
    <xdr:pic>
      <xdr:nvPicPr>
        <xdr:cNvPr id="6" name="図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a:stretch>
          <a:fillRect/>
        </a:stretch>
      </xdr:blipFill>
      <xdr:spPr>
        <a:xfrm>
          <a:off x="0" y="1129709"/>
          <a:ext cx="1688738" cy="43285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597234</xdr:colOff>
      <xdr:row>0</xdr:row>
      <xdr:rowOff>170703</xdr:rowOff>
    </xdr:to>
    <xdr:pic>
      <xdr:nvPicPr>
        <xdr:cNvPr id="5" name="図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71703</xdr:colOff>
      <xdr:row>6</xdr:row>
      <xdr:rowOff>23057</xdr:rowOff>
    </xdr:to>
    <xdr:pic>
      <xdr:nvPicPr>
        <xdr:cNvPr id="6" name="図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0" y="1129709"/>
          <a:ext cx="1688738" cy="43285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597234</xdr:colOff>
      <xdr:row>0</xdr:row>
      <xdr:rowOff>170703</xdr:rowOff>
    </xdr:to>
    <xdr:pic>
      <xdr:nvPicPr>
        <xdr:cNvPr id="5" name="図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71703</xdr:colOff>
      <xdr:row>6</xdr:row>
      <xdr:rowOff>23057</xdr:rowOff>
    </xdr:to>
    <xdr:pic>
      <xdr:nvPicPr>
        <xdr:cNvPr id="8" name="図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2"/>
        <a:stretch>
          <a:fillRect/>
        </a:stretch>
      </xdr:blipFill>
      <xdr:spPr>
        <a:xfrm>
          <a:off x="0" y="1129709"/>
          <a:ext cx="1688738" cy="43285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464347</xdr:colOff>
      <xdr:row>1</xdr:row>
      <xdr:rowOff>170703</xdr:rowOff>
    </xdr:to>
    <xdr:pic>
      <xdr:nvPicPr>
        <xdr:cNvPr id="4" name="図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0" y="385281"/>
          <a:ext cx="6992718" cy="170703"/>
        </a:xfrm>
        <a:prstGeom prst="rect">
          <a:avLst/>
        </a:prstGeom>
      </xdr:spPr>
    </xdr:pic>
    <xdr:clientData/>
  </xdr:twoCellAnchor>
  <xdr:twoCellAnchor editAs="oneCell">
    <xdr:from>
      <xdr:col>0</xdr:col>
      <xdr:colOff>0</xdr:colOff>
      <xdr:row>4</xdr:row>
      <xdr:rowOff>0</xdr:rowOff>
    </xdr:from>
    <xdr:to>
      <xdr:col>4</xdr:col>
      <xdr:colOff>61996</xdr:colOff>
      <xdr:row>6</xdr:row>
      <xdr:rowOff>26168</xdr:rowOff>
    </xdr:to>
    <xdr:pic>
      <xdr:nvPicPr>
        <xdr:cNvPr id="5" name="図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stretch>
          <a:fillRect/>
        </a:stretch>
      </xdr:blipFill>
      <xdr:spPr>
        <a:xfrm>
          <a:off x="0" y="1145140"/>
          <a:ext cx="1688738" cy="43285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464347</xdr:colOff>
      <xdr:row>0</xdr:row>
      <xdr:rowOff>170703</xdr:rowOff>
    </xdr:to>
    <xdr:pic>
      <xdr:nvPicPr>
        <xdr:cNvPr id="4" name="図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4</xdr:col>
      <xdr:colOff>61996</xdr:colOff>
      <xdr:row>6</xdr:row>
      <xdr:rowOff>26168</xdr:rowOff>
    </xdr:to>
    <xdr:pic>
      <xdr:nvPicPr>
        <xdr:cNvPr id="5" name="図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a:stretch>
          <a:fillRect/>
        </a:stretch>
      </xdr:blipFill>
      <xdr:spPr>
        <a:xfrm>
          <a:off x="0" y="1145140"/>
          <a:ext cx="1688738" cy="43285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20</xdr:col>
      <xdr:colOff>133350</xdr:colOff>
      <xdr:row>19</xdr:row>
      <xdr:rowOff>28575</xdr:rowOff>
    </xdr:from>
    <xdr:to>
      <xdr:col>20</xdr:col>
      <xdr:colOff>352425</xdr:colOff>
      <xdr:row>20</xdr:row>
      <xdr:rowOff>85725</xdr:rowOff>
    </xdr:to>
    <xdr:sp macro="" textlink="">
      <xdr:nvSpPr>
        <xdr:cNvPr id="23" name="フローチャート: 結合子 22">
          <a:extLst>
            <a:ext uri="{FF2B5EF4-FFF2-40B4-BE49-F238E27FC236}">
              <a16:creationId xmlns:a16="http://schemas.microsoft.com/office/drawing/2014/main" id="{00000000-0008-0000-0E00-000017000000}"/>
            </a:ext>
          </a:extLst>
        </xdr:cNvPr>
        <xdr:cNvSpPr/>
      </xdr:nvSpPr>
      <xdr:spPr>
        <a:xfrm>
          <a:off x="7724775" y="3752850"/>
          <a:ext cx="219075" cy="228600"/>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394759</xdr:colOff>
      <xdr:row>18</xdr:row>
      <xdr:rowOff>131940</xdr:rowOff>
    </xdr:from>
    <xdr:to>
      <xdr:col>24</xdr:col>
      <xdr:colOff>7056</xdr:colOff>
      <xdr:row>20</xdr:row>
      <xdr:rowOff>26812</xdr:rowOff>
    </xdr:to>
    <xdr:sp macro="" textlink="">
      <xdr:nvSpPr>
        <xdr:cNvPr id="35" name="フローチャート: 結合子 34">
          <a:extLst>
            <a:ext uri="{FF2B5EF4-FFF2-40B4-BE49-F238E27FC236}">
              <a16:creationId xmlns:a16="http://schemas.microsoft.com/office/drawing/2014/main" id="{00000000-0008-0000-0E00-000023000000}"/>
            </a:ext>
          </a:extLst>
        </xdr:cNvPr>
        <xdr:cNvSpPr/>
      </xdr:nvSpPr>
      <xdr:spPr>
        <a:xfrm>
          <a:off x="8635648" y="3652662"/>
          <a:ext cx="219075" cy="219428"/>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108752</xdr:colOff>
      <xdr:row>21</xdr:row>
      <xdr:rowOff>101088</xdr:rowOff>
    </xdr:from>
    <xdr:to>
      <xdr:col>22</xdr:col>
      <xdr:colOff>327827</xdr:colOff>
      <xdr:row>22</xdr:row>
      <xdr:rowOff>152399</xdr:rowOff>
    </xdr:to>
    <xdr:sp macro="" textlink="">
      <xdr:nvSpPr>
        <xdr:cNvPr id="33" name="フローチャート: 結合子 22">
          <a:extLst>
            <a:ext uri="{FF2B5EF4-FFF2-40B4-BE49-F238E27FC236}">
              <a16:creationId xmlns:a16="http://schemas.microsoft.com/office/drawing/2014/main" id="{00000000-0008-0000-0E00-000021000000}"/>
            </a:ext>
          </a:extLst>
        </xdr:cNvPr>
        <xdr:cNvSpPr/>
      </xdr:nvSpPr>
      <xdr:spPr>
        <a:xfrm>
          <a:off x="8554252" y="4154505"/>
          <a:ext cx="219075" cy="220644"/>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275969</xdr:colOff>
      <xdr:row>21</xdr:row>
      <xdr:rowOff>116856</xdr:rowOff>
    </xdr:from>
    <xdr:to>
      <xdr:col>19</xdr:col>
      <xdr:colOff>495044</xdr:colOff>
      <xdr:row>23</xdr:row>
      <xdr:rowOff>4672</xdr:rowOff>
    </xdr:to>
    <xdr:sp macro="" textlink="">
      <xdr:nvSpPr>
        <xdr:cNvPr id="37" name="フローチャート: 結合子 22">
          <a:extLst>
            <a:ext uri="{FF2B5EF4-FFF2-40B4-BE49-F238E27FC236}">
              <a16:creationId xmlns:a16="http://schemas.microsoft.com/office/drawing/2014/main" id="{00000000-0008-0000-0E00-000025000000}"/>
            </a:ext>
          </a:extLst>
        </xdr:cNvPr>
        <xdr:cNvSpPr/>
      </xdr:nvSpPr>
      <xdr:spPr>
        <a:xfrm>
          <a:off x="7144552" y="4170273"/>
          <a:ext cx="219075" cy="226482"/>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237018</xdr:colOff>
      <xdr:row>21</xdr:row>
      <xdr:rowOff>75712</xdr:rowOff>
    </xdr:from>
    <xdr:to>
      <xdr:col>24</xdr:col>
      <xdr:colOff>456093</xdr:colOff>
      <xdr:row>22</xdr:row>
      <xdr:rowOff>132862</xdr:rowOff>
    </xdr:to>
    <xdr:sp macro="" textlink="">
      <xdr:nvSpPr>
        <xdr:cNvPr id="39" name="フローチャート: 結合子 22">
          <a:extLst>
            <a:ext uri="{FF2B5EF4-FFF2-40B4-BE49-F238E27FC236}">
              <a16:creationId xmlns:a16="http://schemas.microsoft.com/office/drawing/2014/main" id="{00000000-0008-0000-0E00-000027000000}"/>
            </a:ext>
          </a:extLst>
        </xdr:cNvPr>
        <xdr:cNvSpPr/>
      </xdr:nvSpPr>
      <xdr:spPr>
        <a:xfrm>
          <a:off x="9084685" y="4083268"/>
          <a:ext cx="219075" cy="219427"/>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226240</xdr:colOff>
      <xdr:row>23</xdr:row>
      <xdr:rowOff>103984</xdr:rowOff>
    </xdr:from>
    <xdr:to>
      <xdr:col>19</xdr:col>
      <xdr:colOff>443491</xdr:colOff>
      <xdr:row>24</xdr:row>
      <xdr:rowOff>161133</xdr:rowOff>
    </xdr:to>
    <xdr:sp macro="" textlink="">
      <xdr:nvSpPr>
        <xdr:cNvPr id="46" name="フローチャート: 結合子 34">
          <a:extLst>
            <a:ext uri="{FF2B5EF4-FFF2-40B4-BE49-F238E27FC236}">
              <a16:creationId xmlns:a16="http://schemas.microsoft.com/office/drawing/2014/main" id="{00000000-0008-0000-0E00-00002E000000}"/>
            </a:ext>
          </a:extLst>
        </xdr:cNvPr>
        <xdr:cNvSpPr/>
      </xdr:nvSpPr>
      <xdr:spPr>
        <a:xfrm>
          <a:off x="6463351" y="4436095"/>
          <a:ext cx="217251" cy="219427"/>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225729</xdr:colOff>
      <xdr:row>23</xdr:row>
      <xdr:rowOff>43868</xdr:rowOff>
    </xdr:from>
    <xdr:to>
      <xdr:col>23</xdr:col>
      <xdr:colOff>451555</xdr:colOff>
      <xdr:row>24</xdr:row>
      <xdr:rowOff>95251</xdr:rowOff>
    </xdr:to>
    <xdr:sp macro="" textlink="">
      <xdr:nvSpPr>
        <xdr:cNvPr id="47" name="フローチャート: 結合子 34">
          <a:extLst>
            <a:ext uri="{FF2B5EF4-FFF2-40B4-BE49-F238E27FC236}">
              <a16:creationId xmlns:a16="http://schemas.microsoft.com/office/drawing/2014/main" id="{00000000-0008-0000-0E00-00002F000000}"/>
            </a:ext>
          </a:extLst>
        </xdr:cNvPr>
        <xdr:cNvSpPr/>
      </xdr:nvSpPr>
      <xdr:spPr>
        <a:xfrm>
          <a:off x="8466618" y="4375979"/>
          <a:ext cx="225826" cy="213661"/>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2117</xdr:colOff>
      <xdr:row>23</xdr:row>
      <xdr:rowOff>97975</xdr:rowOff>
    </xdr:from>
    <xdr:to>
      <xdr:col>20</xdr:col>
      <xdr:colOff>221192</xdr:colOff>
      <xdr:row>24</xdr:row>
      <xdr:rowOff>155124</xdr:rowOff>
    </xdr:to>
    <xdr:sp macro="" textlink="">
      <xdr:nvSpPr>
        <xdr:cNvPr id="48" name="フローチャート: 結合子 34">
          <a:extLst>
            <a:ext uri="{FF2B5EF4-FFF2-40B4-BE49-F238E27FC236}">
              <a16:creationId xmlns:a16="http://schemas.microsoft.com/office/drawing/2014/main" id="{00000000-0008-0000-0E00-000030000000}"/>
            </a:ext>
          </a:extLst>
        </xdr:cNvPr>
        <xdr:cNvSpPr/>
      </xdr:nvSpPr>
      <xdr:spPr>
        <a:xfrm>
          <a:off x="6846006" y="4430086"/>
          <a:ext cx="219075" cy="219427"/>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0</xdr:colOff>
      <xdr:row>0</xdr:row>
      <xdr:rowOff>0</xdr:rowOff>
    </xdr:from>
    <xdr:to>
      <xdr:col>19</xdr:col>
      <xdr:colOff>62459</xdr:colOff>
      <xdr:row>0</xdr:row>
      <xdr:rowOff>170703</xdr:rowOff>
    </xdr:to>
    <xdr:pic>
      <xdr:nvPicPr>
        <xdr:cNvPr id="4" name="図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3</xdr:col>
      <xdr:colOff>265462</xdr:colOff>
      <xdr:row>6</xdr:row>
      <xdr:rowOff>38716</xdr:rowOff>
    </xdr:to>
    <xdr:pic>
      <xdr:nvPicPr>
        <xdr:cNvPr id="5" name="図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2"/>
        <a:stretch>
          <a:fillRect/>
        </a:stretch>
      </xdr:blipFill>
      <xdr:spPr>
        <a:xfrm>
          <a:off x="0" y="1127672"/>
          <a:ext cx="1688738" cy="432854"/>
        </a:xfrm>
        <a:prstGeom prst="rect">
          <a:avLst/>
        </a:prstGeom>
      </xdr:spPr>
    </xdr:pic>
    <xdr:clientData/>
  </xdr:twoCellAnchor>
  <xdr:twoCellAnchor editAs="oneCell">
    <xdr:from>
      <xdr:col>20</xdr:col>
      <xdr:colOff>232833</xdr:colOff>
      <xdr:row>21</xdr:row>
      <xdr:rowOff>95250</xdr:rowOff>
    </xdr:from>
    <xdr:to>
      <xdr:col>20</xdr:col>
      <xdr:colOff>464501</xdr:colOff>
      <xdr:row>23</xdr:row>
      <xdr:rowOff>1404</xdr:rowOff>
    </xdr:to>
    <xdr:pic>
      <xdr:nvPicPr>
        <xdr:cNvPr id="6" name="図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3"/>
        <a:stretch>
          <a:fillRect/>
        </a:stretch>
      </xdr:blipFill>
      <xdr:spPr>
        <a:xfrm>
          <a:off x="7789333" y="4148667"/>
          <a:ext cx="231668" cy="237765"/>
        </a:xfrm>
        <a:prstGeom prst="rect">
          <a:avLst/>
        </a:prstGeom>
      </xdr:spPr>
    </xdr:pic>
    <xdr:clientData/>
  </xdr:twoCellAnchor>
  <xdr:twoCellAnchor editAs="oneCell">
    <xdr:from>
      <xdr:col>8</xdr:col>
      <xdr:colOff>221544</xdr:colOff>
      <xdr:row>18</xdr:row>
      <xdr:rowOff>39863</xdr:rowOff>
    </xdr:from>
    <xdr:to>
      <xdr:col>8</xdr:col>
      <xdr:colOff>462737</xdr:colOff>
      <xdr:row>19</xdr:row>
      <xdr:rowOff>108293</xdr:rowOff>
    </xdr:to>
    <xdr:pic>
      <xdr:nvPicPr>
        <xdr:cNvPr id="8" name="図 7">
          <a:extLst>
            <a:ext uri="{FF2B5EF4-FFF2-40B4-BE49-F238E27FC236}">
              <a16:creationId xmlns:a16="http://schemas.microsoft.com/office/drawing/2014/main" id="{00000000-0008-0000-0E00-000008000000}"/>
            </a:ext>
            <a:ext uri="{147F2762-F138-4A5C-976F-8EAC2B608ADB}">
              <a16:predDERef xmlns:a16="http://schemas.microsoft.com/office/drawing/2014/main" pred="{00000000-0008-0000-0E00-000006000000}"/>
            </a:ext>
          </a:extLst>
        </xdr:cNvPr>
        <xdr:cNvPicPr>
          <a:picLocks noChangeAspect="1"/>
        </xdr:cNvPicPr>
      </xdr:nvPicPr>
      <xdr:blipFill>
        <a:blip xmlns:r="http://schemas.openxmlformats.org/officeDocument/2006/relationships" r:embed="rId4"/>
        <a:stretch>
          <a:fillRect/>
        </a:stretch>
      </xdr:blipFill>
      <xdr:spPr>
        <a:xfrm>
          <a:off x="2761544" y="3587396"/>
          <a:ext cx="241193" cy="237764"/>
        </a:xfrm>
        <a:prstGeom prst="rect">
          <a:avLst/>
        </a:prstGeom>
      </xdr:spPr>
    </xdr:pic>
    <xdr:clientData/>
  </xdr:twoCellAnchor>
  <xdr:twoCellAnchor editAs="oneCell">
    <xdr:from>
      <xdr:col>22</xdr:col>
      <xdr:colOff>507999</xdr:colOff>
      <xdr:row>21</xdr:row>
      <xdr:rowOff>74083</xdr:rowOff>
    </xdr:from>
    <xdr:to>
      <xdr:col>23</xdr:col>
      <xdr:colOff>132889</xdr:colOff>
      <xdr:row>22</xdr:row>
      <xdr:rowOff>142515</xdr:rowOff>
    </xdr:to>
    <xdr:pic>
      <xdr:nvPicPr>
        <xdr:cNvPr id="9" name="図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a:stretch>
          <a:fillRect/>
        </a:stretch>
      </xdr:blipFill>
      <xdr:spPr>
        <a:xfrm>
          <a:off x="8142110" y="4081639"/>
          <a:ext cx="231668" cy="230709"/>
        </a:xfrm>
        <a:prstGeom prst="rect">
          <a:avLst/>
        </a:prstGeom>
      </xdr:spPr>
    </xdr:pic>
    <xdr:clientData/>
  </xdr:twoCellAnchor>
  <xdr:twoCellAnchor editAs="oneCell">
    <xdr:from>
      <xdr:col>23</xdr:col>
      <xdr:colOff>243416</xdr:colOff>
      <xdr:row>21</xdr:row>
      <xdr:rowOff>56445</xdr:rowOff>
    </xdr:from>
    <xdr:to>
      <xdr:col>23</xdr:col>
      <xdr:colOff>475084</xdr:colOff>
      <xdr:row>22</xdr:row>
      <xdr:rowOff>124877</xdr:rowOff>
    </xdr:to>
    <xdr:pic>
      <xdr:nvPicPr>
        <xdr:cNvPr id="11" name="図 10">
          <a:extLst>
            <a:ext uri="{FF2B5EF4-FFF2-40B4-BE49-F238E27FC236}">
              <a16:creationId xmlns:a16="http://schemas.microsoft.com/office/drawing/2014/main" id="{00000000-0008-0000-0E00-00000B000000}"/>
            </a:ext>
          </a:extLst>
        </xdr:cNvPr>
        <xdr:cNvPicPr>
          <a:picLocks noChangeAspect="1"/>
        </xdr:cNvPicPr>
      </xdr:nvPicPr>
      <xdr:blipFill>
        <a:blip xmlns:r="http://schemas.openxmlformats.org/officeDocument/2006/relationships" r:embed="rId5"/>
        <a:stretch>
          <a:fillRect/>
        </a:stretch>
      </xdr:blipFill>
      <xdr:spPr>
        <a:xfrm>
          <a:off x="8484305" y="4064001"/>
          <a:ext cx="231668" cy="230709"/>
        </a:xfrm>
        <a:prstGeom prst="rect">
          <a:avLst/>
        </a:prstGeom>
      </xdr:spPr>
    </xdr:pic>
    <xdr:clientData/>
  </xdr:twoCellAnchor>
  <xdr:twoCellAnchor editAs="oneCell">
    <xdr:from>
      <xdr:col>9</xdr:col>
      <xdr:colOff>194027</xdr:colOff>
      <xdr:row>22</xdr:row>
      <xdr:rowOff>78670</xdr:rowOff>
    </xdr:from>
    <xdr:to>
      <xdr:col>10</xdr:col>
      <xdr:colOff>127951</xdr:colOff>
      <xdr:row>23</xdr:row>
      <xdr:rowOff>141004</xdr:rowOff>
    </xdr:to>
    <xdr:pic>
      <xdr:nvPicPr>
        <xdr:cNvPr id="14" name="図 13">
          <a:extLst>
            <a:ext uri="{FF2B5EF4-FFF2-40B4-BE49-F238E27FC236}">
              <a16:creationId xmlns:a16="http://schemas.microsoft.com/office/drawing/2014/main" id="{00000000-0008-0000-0E00-00000E000000}"/>
            </a:ext>
            <a:ext uri="{147F2762-F138-4A5C-976F-8EAC2B608ADB}">
              <a16:predDERef xmlns:a16="http://schemas.microsoft.com/office/drawing/2014/main" pred="{00000000-0008-0000-0E00-00000B000000}"/>
            </a:ext>
          </a:extLst>
        </xdr:cNvPr>
        <xdr:cNvPicPr>
          <a:picLocks noChangeAspect="1"/>
        </xdr:cNvPicPr>
      </xdr:nvPicPr>
      <xdr:blipFill>
        <a:blip xmlns:r="http://schemas.openxmlformats.org/officeDocument/2006/relationships" r:embed="rId6"/>
        <a:stretch>
          <a:fillRect/>
        </a:stretch>
      </xdr:blipFill>
      <xdr:spPr>
        <a:xfrm>
          <a:off x="3280127" y="4822120"/>
          <a:ext cx="229199" cy="290934"/>
        </a:xfrm>
        <a:prstGeom prst="rect">
          <a:avLst/>
        </a:prstGeom>
      </xdr:spPr>
    </xdr:pic>
    <xdr:clientData/>
  </xdr:twoCellAnchor>
  <xdr:twoCellAnchor editAs="oneCell">
    <xdr:from>
      <xdr:col>22</xdr:col>
      <xdr:colOff>130526</xdr:colOff>
      <xdr:row>23</xdr:row>
      <xdr:rowOff>74084</xdr:rowOff>
    </xdr:from>
    <xdr:to>
      <xdr:col>22</xdr:col>
      <xdr:colOff>362194</xdr:colOff>
      <xdr:row>24</xdr:row>
      <xdr:rowOff>136418</xdr:rowOff>
    </xdr:to>
    <xdr:pic>
      <xdr:nvPicPr>
        <xdr:cNvPr id="15" name="図 14">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7"/>
        <a:stretch>
          <a:fillRect/>
        </a:stretch>
      </xdr:blipFill>
      <xdr:spPr>
        <a:xfrm>
          <a:off x="7764637" y="4406195"/>
          <a:ext cx="231668" cy="224612"/>
        </a:xfrm>
        <a:prstGeom prst="rect">
          <a:avLst/>
        </a:prstGeom>
      </xdr:spPr>
    </xdr:pic>
    <xdr:clientData/>
  </xdr:twoCellAnchor>
  <xdr:twoCellAnchor editAs="oneCell">
    <xdr:from>
      <xdr:col>22</xdr:col>
      <xdr:colOff>483305</xdr:colOff>
      <xdr:row>23</xdr:row>
      <xdr:rowOff>52917</xdr:rowOff>
    </xdr:from>
    <xdr:to>
      <xdr:col>23</xdr:col>
      <xdr:colOff>108195</xdr:colOff>
      <xdr:row>24</xdr:row>
      <xdr:rowOff>115251</xdr:rowOff>
    </xdr:to>
    <xdr:pic>
      <xdr:nvPicPr>
        <xdr:cNvPr id="19" name="図 18">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8"/>
        <a:stretch>
          <a:fillRect/>
        </a:stretch>
      </xdr:blipFill>
      <xdr:spPr>
        <a:xfrm>
          <a:off x="8117416" y="4385028"/>
          <a:ext cx="231668" cy="224612"/>
        </a:xfrm>
        <a:prstGeom prst="rect">
          <a:avLst/>
        </a:prstGeom>
      </xdr:spPr>
    </xdr:pic>
    <xdr:clientData/>
  </xdr:twoCellAnchor>
  <xdr:twoCellAnchor editAs="oneCell">
    <xdr:from>
      <xdr:col>20</xdr:col>
      <xdr:colOff>564443</xdr:colOff>
      <xdr:row>21</xdr:row>
      <xdr:rowOff>77611</xdr:rowOff>
    </xdr:from>
    <xdr:to>
      <xdr:col>22</xdr:col>
      <xdr:colOff>2262</xdr:colOff>
      <xdr:row>22</xdr:row>
      <xdr:rowOff>147002</xdr:rowOff>
    </xdr:to>
    <xdr:pic>
      <xdr:nvPicPr>
        <xdr:cNvPr id="3" name="図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9"/>
        <a:stretch>
          <a:fillRect/>
        </a:stretch>
      </xdr:blipFill>
      <xdr:spPr>
        <a:xfrm>
          <a:off x="7408332" y="4085167"/>
          <a:ext cx="225572" cy="231668"/>
        </a:xfrm>
        <a:prstGeom prst="rect">
          <a:avLst/>
        </a:prstGeom>
      </xdr:spPr>
    </xdr:pic>
    <xdr:clientData/>
  </xdr:twoCellAnchor>
  <xdr:twoCellAnchor editAs="oneCell">
    <xdr:from>
      <xdr:col>8</xdr:col>
      <xdr:colOff>237066</xdr:colOff>
      <xdr:row>20</xdr:row>
      <xdr:rowOff>57855</xdr:rowOff>
    </xdr:from>
    <xdr:to>
      <xdr:col>8</xdr:col>
      <xdr:colOff>465460</xdr:colOff>
      <xdr:row>21</xdr:row>
      <xdr:rowOff>127247</xdr:rowOff>
    </xdr:to>
    <xdr:pic>
      <xdr:nvPicPr>
        <xdr:cNvPr id="7" name="図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9"/>
        <a:stretch>
          <a:fillRect/>
        </a:stretch>
      </xdr:blipFill>
      <xdr:spPr>
        <a:xfrm>
          <a:off x="2777066" y="3944055"/>
          <a:ext cx="228394" cy="238725"/>
        </a:xfrm>
        <a:prstGeom prst="rect">
          <a:avLst/>
        </a:prstGeom>
      </xdr:spPr>
    </xdr:pic>
    <xdr:clientData/>
  </xdr:twoCellAnchor>
  <xdr:twoCellAnchor editAs="oneCell">
    <xdr:from>
      <xdr:col>23</xdr:col>
      <xdr:colOff>536222</xdr:colOff>
      <xdr:row>21</xdr:row>
      <xdr:rowOff>77610</xdr:rowOff>
    </xdr:from>
    <xdr:to>
      <xdr:col>24</xdr:col>
      <xdr:colOff>155016</xdr:colOff>
      <xdr:row>22</xdr:row>
      <xdr:rowOff>147001</xdr:rowOff>
    </xdr:to>
    <xdr:pic>
      <xdr:nvPicPr>
        <xdr:cNvPr id="10" name="図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9"/>
        <a:stretch>
          <a:fillRect/>
        </a:stretch>
      </xdr:blipFill>
      <xdr:spPr>
        <a:xfrm>
          <a:off x="8777111" y="4085166"/>
          <a:ext cx="225572" cy="231668"/>
        </a:xfrm>
        <a:prstGeom prst="rect">
          <a:avLst/>
        </a:prstGeom>
      </xdr:spPr>
    </xdr:pic>
    <xdr:clientData/>
  </xdr:twoCellAnchor>
  <xdr:twoCellAnchor editAs="oneCell">
    <xdr:from>
      <xdr:col>23</xdr:col>
      <xdr:colOff>536222</xdr:colOff>
      <xdr:row>23</xdr:row>
      <xdr:rowOff>42334</xdr:rowOff>
    </xdr:from>
    <xdr:to>
      <xdr:col>24</xdr:col>
      <xdr:colOff>161112</xdr:colOff>
      <xdr:row>24</xdr:row>
      <xdr:rowOff>111724</xdr:rowOff>
    </xdr:to>
    <xdr:pic>
      <xdr:nvPicPr>
        <xdr:cNvPr id="16" name="図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10"/>
        <a:stretch>
          <a:fillRect/>
        </a:stretch>
      </xdr:blipFill>
      <xdr:spPr>
        <a:xfrm>
          <a:off x="8777111" y="4374445"/>
          <a:ext cx="231668" cy="231668"/>
        </a:xfrm>
        <a:prstGeom prst="rect">
          <a:avLst/>
        </a:prstGeom>
      </xdr:spPr>
    </xdr:pic>
    <xdr:clientData/>
  </xdr:twoCellAnchor>
  <xdr:twoCellAnchor editAs="oneCell">
    <xdr:from>
      <xdr:col>24</xdr:col>
      <xdr:colOff>268110</xdr:colOff>
      <xdr:row>23</xdr:row>
      <xdr:rowOff>63501</xdr:rowOff>
    </xdr:from>
    <xdr:to>
      <xdr:col>24</xdr:col>
      <xdr:colOff>499778</xdr:colOff>
      <xdr:row>24</xdr:row>
      <xdr:rowOff>132891</xdr:rowOff>
    </xdr:to>
    <xdr:pic>
      <xdr:nvPicPr>
        <xdr:cNvPr id="17" name="図 16">
          <a:extLst>
            <a:ext uri="{FF2B5EF4-FFF2-40B4-BE49-F238E27FC236}">
              <a16:creationId xmlns:a16="http://schemas.microsoft.com/office/drawing/2014/main" id="{00000000-0008-0000-0E00-000011000000}"/>
            </a:ext>
          </a:extLst>
        </xdr:cNvPr>
        <xdr:cNvPicPr>
          <a:picLocks noChangeAspect="1"/>
        </xdr:cNvPicPr>
      </xdr:nvPicPr>
      <xdr:blipFill>
        <a:blip xmlns:r="http://schemas.openxmlformats.org/officeDocument/2006/relationships" r:embed="rId10"/>
        <a:stretch>
          <a:fillRect/>
        </a:stretch>
      </xdr:blipFill>
      <xdr:spPr>
        <a:xfrm>
          <a:off x="9115777" y="4395612"/>
          <a:ext cx="231668" cy="23166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20</xdr:col>
      <xdr:colOff>199039</xdr:colOff>
      <xdr:row>19</xdr:row>
      <xdr:rowOff>28575</xdr:rowOff>
    </xdr:from>
    <xdr:to>
      <xdr:col>20</xdr:col>
      <xdr:colOff>457200</xdr:colOff>
      <xdr:row>20</xdr:row>
      <xdr:rowOff>85725</xdr:rowOff>
    </xdr:to>
    <xdr:sp macro="" textlink="">
      <xdr:nvSpPr>
        <xdr:cNvPr id="4" name="フローチャート: 結合子 22">
          <a:extLst>
            <a:ext uri="{FF2B5EF4-FFF2-40B4-BE49-F238E27FC236}">
              <a16:creationId xmlns:a16="http://schemas.microsoft.com/office/drawing/2014/main" id="{00000000-0008-0000-0F00-000004000000}"/>
            </a:ext>
          </a:extLst>
        </xdr:cNvPr>
        <xdr:cNvSpPr/>
      </xdr:nvSpPr>
      <xdr:spPr>
        <a:xfrm>
          <a:off x="6939275" y="3700030"/>
          <a:ext cx="258161" cy="223404"/>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317059</xdr:colOff>
      <xdr:row>19</xdr:row>
      <xdr:rowOff>19049</xdr:rowOff>
    </xdr:from>
    <xdr:to>
      <xdr:col>23</xdr:col>
      <xdr:colOff>574965</xdr:colOff>
      <xdr:row>20</xdr:row>
      <xdr:rowOff>76201</xdr:rowOff>
    </xdr:to>
    <xdr:sp macro="" textlink="">
      <xdr:nvSpPr>
        <xdr:cNvPr id="5" name="フローチャート: 結合子 34">
          <a:extLst>
            <a:ext uri="{FF2B5EF4-FFF2-40B4-BE49-F238E27FC236}">
              <a16:creationId xmlns:a16="http://schemas.microsoft.com/office/drawing/2014/main" id="{00000000-0008-0000-0F00-000005000000}"/>
            </a:ext>
          </a:extLst>
        </xdr:cNvPr>
        <xdr:cNvSpPr/>
      </xdr:nvSpPr>
      <xdr:spPr>
        <a:xfrm>
          <a:off x="8456604" y="3690504"/>
          <a:ext cx="257906" cy="223406"/>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0</xdr:colOff>
      <xdr:row>0</xdr:row>
      <xdr:rowOff>0</xdr:rowOff>
    </xdr:from>
    <xdr:to>
      <xdr:col>19</xdr:col>
      <xdr:colOff>62459</xdr:colOff>
      <xdr:row>0</xdr:row>
      <xdr:rowOff>170703</xdr:rowOff>
    </xdr:to>
    <xdr:pic>
      <xdr:nvPicPr>
        <xdr:cNvPr id="16" name="図 15">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xdr:from>
      <xdr:col>20</xdr:col>
      <xdr:colOff>173182</xdr:colOff>
      <xdr:row>21</xdr:row>
      <xdr:rowOff>117763</xdr:rowOff>
    </xdr:from>
    <xdr:to>
      <xdr:col>20</xdr:col>
      <xdr:colOff>431343</xdr:colOff>
      <xdr:row>23</xdr:row>
      <xdr:rowOff>8658</xdr:rowOff>
    </xdr:to>
    <xdr:sp macro="" textlink="">
      <xdr:nvSpPr>
        <xdr:cNvPr id="9" name="フローチャート: 結合子 22">
          <a:extLst>
            <a:ext uri="{FF2B5EF4-FFF2-40B4-BE49-F238E27FC236}">
              <a16:creationId xmlns:a16="http://schemas.microsoft.com/office/drawing/2014/main" id="{00000000-0008-0000-0F00-000009000000}"/>
            </a:ext>
          </a:extLst>
        </xdr:cNvPr>
        <xdr:cNvSpPr/>
      </xdr:nvSpPr>
      <xdr:spPr>
        <a:xfrm>
          <a:off x="6913418" y="4121727"/>
          <a:ext cx="258161" cy="223404"/>
        </a:xfrm>
        <a:prstGeom prst="flowChartConnector">
          <a:avLst/>
        </a:prstGeom>
        <a:no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19</xdr:col>
      <xdr:colOff>436418</xdr:colOff>
      <xdr:row>21</xdr:row>
      <xdr:rowOff>124690</xdr:rowOff>
    </xdr:from>
    <xdr:to>
      <xdr:col>20</xdr:col>
      <xdr:colOff>84979</xdr:colOff>
      <xdr:row>23</xdr:row>
      <xdr:rowOff>15585</xdr:rowOff>
    </xdr:to>
    <xdr:sp macro="" textlink="">
      <xdr:nvSpPr>
        <xdr:cNvPr id="11" name="フローチャート: 結合子 22">
          <a:extLst>
            <a:ext uri="{FF2B5EF4-FFF2-40B4-BE49-F238E27FC236}">
              <a16:creationId xmlns:a16="http://schemas.microsoft.com/office/drawing/2014/main" id="{00000000-0008-0000-0F00-00000B000000}"/>
            </a:ext>
          </a:extLst>
        </xdr:cNvPr>
        <xdr:cNvSpPr/>
      </xdr:nvSpPr>
      <xdr:spPr>
        <a:xfrm>
          <a:off x="6567054" y="4128654"/>
          <a:ext cx="258161" cy="223404"/>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540326</xdr:colOff>
      <xdr:row>21</xdr:row>
      <xdr:rowOff>117764</xdr:rowOff>
    </xdr:from>
    <xdr:to>
      <xdr:col>22</xdr:col>
      <xdr:colOff>8778</xdr:colOff>
      <xdr:row>23</xdr:row>
      <xdr:rowOff>8659</xdr:rowOff>
    </xdr:to>
    <xdr:sp macro="" textlink="">
      <xdr:nvSpPr>
        <xdr:cNvPr id="12" name="フローチャート: 結合子 22">
          <a:extLst>
            <a:ext uri="{FF2B5EF4-FFF2-40B4-BE49-F238E27FC236}">
              <a16:creationId xmlns:a16="http://schemas.microsoft.com/office/drawing/2014/main" id="{00000000-0008-0000-0F00-00000C000000}"/>
            </a:ext>
          </a:extLst>
        </xdr:cNvPr>
        <xdr:cNvSpPr/>
      </xdr:nvSpPr>
      <xdr:spPr>
        <a:xfrm>
          <a:off x="7280562" y="4121728"/>
          <a:ext cx="258161" cy="223404"/>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110836</xdr:colOff>
      <xdr:row>21</xdr:row>
      <xdr:rowOff>117763</xdr:rowOff>
    </xdr:from>
    <xdr:to>
      <xdr:col>22</xdr:col>
      <xdr:colOff>368997</xdr:colOff>
      <xdr:row>23</xdr:row>
      <xdr:rowOff>8658</xdr:rowOff>
    </xdr:to>
    <xdr:sp macro="" textlink="">
      <xdr:nvSpPr>
        <xdr:cNvPr id="19" name="フローチャート: 結合子 22">
          <a:extLst>
            <a:ext uri="{FF2B5EF4-FFF2-40B4-BE49-F238E27FC236}">
              <a16:creationId xmlns:a16="http://schemas.microsoft.com/office/drawing/2014/main" id="{00000000-0008-0000-0F00-000013000000}"/>
            </a:ext>
          </a:extLst>
        </xdr:cNvPr>
        <xdr:cNvSpPr/>
      </xdr:nvSpPr>
      <xdr:spPr>
        <a:xfrm>
          <a:off x="7640781" y="4121727"/>
          <a:ext cx="258161" cy="223404"/>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22</xdr:col>
      <xdr:colOff>498764</xdr:colOff>
      <xdr:row>21</xdr:row>
      <xdr:rowOff>131619</xdr:rowOff>
    </xdr:from>
    <xdr:to>
      <xdr:col>23</xdr:col>
      <xdr:colOff>147325</xdr:colOff>
      <xdr:row>23</xdr:row>
      <xdr:rowOff>22514</xdr:rowOff>
    </xdr:to>
    <xdr:sp macro="" textlink="">
      <xdr:nvSpPr>
        <xdr:cNvPr id="21" name="フローチャート: 結合子 22">
          <a:extLst>
            <a:ext uri="{FF2B5EF4-FFF2-40B4-BE49-F238E27FC236}">
              <a16:creationId xmlns:a16="http://schemas.microsoft.com/office/drawing/2014/main" id="{00000000-0008-0000-0F00-000015000000}"/>
            </a:ext>
          </a:extLst>
        </xdr:cNvPr>
        <xdr:cNvSpPr/>
      </xdr:nvSpPr>
      <xdr:spPr>
        <a:xfrm>
          <a:off x="8028709" y="4135583"/>
          <a:ext cx="258161" cy="223404"/>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96980</xdr:colOff>
      <xdr:row>21</xdr:row>
      <xdr:rowOff>117763</xdr:rowOff>
    </xdr:from>
    <xdr:to>
      <xdr:col>19</xdr:col>
      <xdr:colOff>355141</xdr:colOff>
      <xdr:row>23</xdr:row>
      <xdr:rowOff>8658</xdr:rowOff>
    </xdr:to>
    <xdr:sp macro="" textlink="">
      <xdr:nvSpPr>
        <xdr:cNvPr id="26" name="フローチャート: 結合子 22">
          <a:extLst>
            <a:ext uri="{FF2B5EF4-FFF2-40B4-BE49-F238E27FC236}">
              <a16:creationId xmlns:a16="http://schemas.microsoft.com/office/drawing/2014/main" id="{00000000-0008-0000-0F00-00001A000000}"/>
            </a:ext>
          </a:extLst>
        </xdr:cNvPr>
        <xdr:cNvSpPr/>
      </xdr:nvSpPr>
      <xdr:spPr>
        <a:xfrm>
          <a:off x="6227616" y="4121727"/>
          <a:ext cx="258161" cy="223404"/>
        </a:xfrm>
        <a:prstGeom prst="flowChartConnector">
          <a:avLst/>
        </a:prstGeom>
        <a:no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23</xdr:col>
      <xdr:colOff>242456</xdr:colOff>
      <xdr:row>21</xdr:row>
      <xdr:rowOff>124691</xdr:rowOff>
    </xdr:from>
    <xdr:to>
      <xdr:col>23</xdr:col>
      <xdr:colOff>507544</xdr:colOff>
      <xdr:row>23</xdr:row>
      <xdr:rowOff>15586</xdr:rowOff>
    </xdr:to>
    <xdr:sp macro="" textlink="">
      <xdr:nvSpPr>
        <xdr:cNvPr id="28" name="フローチャート: 結合子 22">
          <a:extLst>
            <a:ext uri="{FF2B5EF4-FFF2-40B4-BE49-F238E27FC236}">
              <a16:creationId xmlns:a16="http://schemas.microsoft.com/office/drawing/2014/main" id="{00000000-0008-0000-0F00-00001C000000}"/>
            </a:ext>
          </a:extLst>
        </xdr:cNvPr>
        <xdr:cNvSpPr/>
      </xdr:nvSpPr>
      <xdr:spPr>
        <a:xfrm>
          <a:off x="8382001" y="4128655"/>
          <a:ext cx="265088" cy="223404"/>
        </a:xfrm>
        <a:prstGeom prst="flowChartConnector">
          <a:avLst/>
        </a:prstGeom>
        <a:no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23</xdr:col>
      <xdr:colOff>574964</xdr:colOff>
      <xdr:row>21</xdr:row>
      <xdr:rowOff>124691</xdr:rowOff>
    </xdr:from>
    <xdr:to>
      <xdr:col>24</xdr:col>
      <xdr:colOff>223525</xdr:colOff>
      <xdr:row>23</xdr:row>
      <xdr:rowOff>15586</xdr:rowOff>
    </xdr:to>
    <xdr:sp macro="" textlink="">
      <xdr:nvSpPr>
        <xdr:cNvPr id="30" name="フローチャート: 結合子 22">
          <a:extLst>
            <a:ext uri="{FF2B5EF4-FFF2-40B4-BE49-F238E27FC236}">
              <a16:creationId xmlns:a16="http://schemas.microsoft.com/office/drawing/2014/main" id="{00000000-0008-0000-0F00-00001E000000}"/>
            </a:ext>
          </a:extLst>
        </xdr:cNvPr>
        <xdr:cNvSpPr/>
      </xdr:nvSpPr>
      <xdr:spPr>
        <a:xfrm>
          <a:off x="8714509" y="4128655"/>
          <a:ext cx="258161" cy="223404"/>
        </a:xfrm>
        <a:prstGeom prst="flowChartConnector">
          <a:avLst/>
        </a:prstGeom>
        <a:no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24</xdr:col>
      <xdr:colOff>304801</xdr:colOff>
      <xdr:row>21</xdr:row>
      <xdr:rowOff>117764</xdr:rowOff>
    </xdr:from>
    <xdr:to>
      <xdr:col>24</xdr:col>
      <xdr:colOff>562962</xdr:colOff>
      <xdr:row>23</xdr:row>
      <xdr:rowOff>8659</xdr:rowOff>
    </xdr:to>
    <xdr:sp macro="" textlink="">
      <xdr:nvSpPr>
        <xdr:cNvPr id="32" name="フローチャート: 結合子 22">
          <a:extLst>
            <a:ext uri="{FF2B5EF4-FFF2-40B4-BE49-F238E27FC236}">
              <a16:creationId xmlns:a16="http://schemas.microsoft.com/office/drawing/2014/main" id="{00000000-0008-0000-0F00-000020000000}"/>
            </a:ext>
          </a:extLst>
        </xdr:cNvPr>
        <xdr:cNvSpPr/>
      </xdr:nvSpPr>
      <xdr:spPr>
        <a:xfrm>
          <a:off x="9053946" y="4121728"/>
          <a:ext cx="258161" cy="223404"/>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180109</xdr:colOff>
      <xdr:row>24</xdr:row>
      <xdr:rowOff>62347</xdr:rowOff>
    </xdr:from>
    <xdr:to>
      <xdr:col>19</xdr:col>
      <xdr:colOff>438015</xdr:colOff>
      <xdr:row>25</xdr:row>
      <xdr:rowOff>119498</xdr:rowOff>
    </xdr:to>
    <xdr:sp macro="" textlink="">
      <xdr:nvSpPr>
        <xdr:cNvPr id="33" name="フローチャート: 結合子 34">
          <a:extLst>
            <a:ext uri="{FF2B5EF4-FFF2-40B4-BE49-F238E27FC236}">
              <a16:creationId xmlns:a16="http://schemas.microsoft.com/office/drawing/2014/main" id="{00000000-0008-0000-0F00-000021000000}"/>
            </a:ext>
          </a:extLst>
        </xdr:cNvPr>
        <xdr:cNvSpPr/>
      </xdr:nvSpPr>
      <xdr:spPr>
        <a:xfrm>
          <a:off x="6310745" y="4565074"/>
          <a:ext cx="257906" cy="223406"/>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19</xdr:col>
      <xdr:colOff>505691</xdr:colOff>
      <xdr:row>24</xdr:row>
      <xdr:rowOff>48491</xdr:rowOff>
    </xdr:from>
    <xdr:to>
      <xdr:col>20</xdr:col>
      <xdr:colOff>153997</xdr:colOff>
      <xdr:row>25</xdr:row>
      <xdr:rowOff>105642</xdr:rowOff>
    </xdr:to>
    <xdr:sp macro="" textlink="">
      <xdr:nvSpPr>
        <xdr:cNvPr id="34" name="フローチャート: 結合子 34">
          <a:extLst>
            <a:ext uri="{FF2B5EF4-FFF2-40B4-BE49-F238E27FC236}">
              <a16:creationId xmlns:a16="http://schemas.microsoft.com/office/drawing/2014/main" id="{00000000-0008-0000-0F00-000022000000}"/>
            </a:ext>
          </a:extLst>
        </xdr:cNvPr>
        <xdr:cNvSpPr/>
      </xdr:nvSpPr>
      <xdr:spPr>
        <a:xfrm>
          <a:off x="6636327" y="4551218"/>
          <a:ext cx="257906" cy="223406"/>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20</xdr:col>
      <xdr:colOff>263237</xdr:colOff>
      <xdr:row>24</xdr:row>
      <xdr:rowOff>27709</xdr:rowOff>
    </xdr:from>
    <xdr:to>
      <xdr:col>20</xdr:col>
      <xdr:colOff>521143</xdr:colOff>
      <xdr:row>25</xdr:row>
      <xdr:rowOff>84860</xdr:rowOff>
    </xdr:to>
    <xdr:sp macro="" textlink="">
      <xdr:nvSpPr>
        <xdr:cNvPr id="36" name="フローチャート: 結合子 34">
          <a:extLst>
            <a:ext uri="{FF2B5EF4-FFF2-40B4-BE49-F238E27FC236}">
              <a16:creationId xmlns:a16="http://schemas.microsoft.com/office/drawing/2014/main" id="{00000000-0008-0000-0F00-000024000000}"/>
            </a:ext>
          </a:extLst>
        </xdr:cNvPr>
        <xdr:cNvSpPr/>
      </xdr:nvSpPr>
      <xdr:spPr>
        <a:xfrm>
          <a:off x="7003473" y="4530436"/>
          <a:ext cx="257906" cy="223406"/>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20</xdr:col>
      <xdr:colOff>595746</xdr:colOff>
      <xdr:row>24</xdr:row>
      <xdr:rowOff>48491</xdr:rowOff>
    </xdr:from>
    <xdr:to>
      <xdr:col>22</xdr:col>
      <xdr:colOff>63943</xdr:colOff>
      <xdr:row>25</xdr:row>
      <xdr:rowOff>105642</xdr:rowOff>
    </xdr:to>
    <xdr:sp macro="" textlink="">
      <xdr:nvSpPr>
        <xdr:cNvPr id="37" name="フローチャート: 結合子 34">
          <a:extLst>
            <a:ext uri="{FF2B5EF4-FFF2-40B4-BE49-F238E27FC236}">
              <a16:creationId xmlns:a16="http://schemas.microsoft.com/office/drawing/2014/main" id="{00000000-0008-0000-0F00-000025000000}"/>
            </a:ext>
          </a:extLst>
        </xdr:cNvPr>
        <xdr:cNvSpPr/>
      </xdr:nvSpPr>
      <xdr:spPr>
        <a:xfrm>
          <a:off x="7335982" y="4551218"/>
          <a:ext cx="257906" cy="223406"/>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22</xdr:col>
      <xdr:colOff>159327</xdr:colOff>
      <xdr:row>24</xdr:row>
      <xdr:rowOff>55419</xdr:rowOff>
    </xdr:from>
    <xdr:to>
      <xdr:col>22</xdr:col>
      <xdr:colOff>417233</xdr:colOff>
      <xdr:row>25</xdr:row>
      <xdr:rowOff>112570</xdr:rowOff>
    </xdr:to>
    <xdr:sp macro="" textlink="">
      <xdr:nvSpPr>
        <xdr:cNvPr id="38" name="フローチャート: 結合子 34">
          <a:extLst>
            <a:ext uri="{FF2B5EF4-FFF2-40B4-BE49-F238E27FC236}">
              <a16:creationId xmlns:a16="http://schemas.microsoft.com/office/drawing/2014/main" id="{00000000-0008-0000-0F00-000026000000}"/>
            </a:ext>
          </a:extLst>
        </xdr:cNvPr>
        <xdr:cNvSpPr/>
      </xdr:nvSpPr>
      <xdr:spPr>
        <a:xfrm>
          <a:off x="7689272" y="4558146"/>
          <a:ext cx="257906" cy="223406"/>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22</xdr:col>
      <xdr:colOff>512619</xdr:colOff>
      <xdr:row>24</xdr:row>
      <xdr:rowOff>62347</xdr:rowOff>
    </xdr:from>
    <xdr:to>
      <xdr:col>23</xdr:col>
      <xdr:colOff>160925</xdr:colOff>
      <xdr:row>25</xdr:row>
      <xdr:rowOff>119498</xdr:rowOff>
    </xdr:to>
    <xdr:sp macro="" textlink="">
      <xdr:nvSpPr>
        <xdr:cNvPr id="39" name="フローチャート: 結合子 34">
          <a:extLst>
            <a:ext uri="{FF2B5EF4-FFF2-40B4-BE49-F238E27FC236}">
              <a16:creationId xmlns:a16="http://schemas.microsoft.com/office/drawing/2014/main" id="{00000000-0008-0000-0F00-000027000000}"/>
            </a:ext>
          </a:extLst>
        </xdr:cNvPr>
        <xdr:cNvSpPr/>
      </xdr:nvSpPr>
      <xdr:spPr>
        <a:xfrm>
          <a:off x="8042564" y="4565074"/>
          <a:ext cx="257906" cy="223406"/>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23</xdr:col>
      <xdr:colOff>242454</xdr:colOff>
      <xdr:row>24</xdr:row>
      <xdr:rowOff>41563</xdr:rowOff>
    </xdr:from>
    <xdr:to>
      <xdr:col>23</xdr:col>
      <xdr:colOff>500360</xdr:colOff>
      <xdr:row>25</xdr:row>
      <xdr:rowOff>124689</xdr:rowOff>
    </xdr:to>
    <xdr:sp macro="" textlink="">
      <xdr:nvSpPr>
        <xdr:cNvPr id="40" name="フローチャート: 結合子 34">
          <a:extLst>
            <a:ext uri="{FF2B5EF4-FFF2-40B4-BE49-F238E27FC236}">
              <a16:creationId xmlns:a16="http://schemas.microsoft.com/office/drawing/2014/main" id="{00000000-0008-0000-0F00-000028000000}"/>
            </a:ext>
          </a:extLst>
        </xdr:cNvPr>
        <xdr:cNvSpPr/>
      </xdr:nvSpPr>
      <xdr:spPr>
        <a:xfrm>
          <a:off x="8381999" y="4544290"/>
          <a:ext cx="257906" cy="249381"/>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23</xdr:col>
      <xdr:colOff>581891</xdr:colOff>
      <xdr:row>24</xdr:row>
      <xdr:rowOff>69273</xdr:rowOff>
    </xdr:from>
    <xdr:to>
      <xdr:col>24</xdr:col>
      <xdr:colOff>230197</xdr:colOff>
      <xdr:row>25</xdr:row>
      <xdr:rowOff>126424</xdr:rowOff>
    </xdr:to>
    <xdr:sp macro="" textlink="">
      <xdr:nvSpPr>
        <xdr:cNvPr id="41" name="フローチャート: 結合子 34">
          <a:extLst>
            <a:ext uri="{FF2B5EF4-FFF2-40B4-BE49-F238E27FC236}">
              <a16:creationId xmlns:a16="http://schemas.microsoft.com/office/drawing/2014/main" id="{00000000-0008-0000-0F00-000029000000}"/>
            </a:ext>
          </a:extLst>
        </xdr:cNvPr>
        <xdr:cNvSpPr/>
      </xdr:nvSpPr>
      <xdr:spPr>
        <a:xfrm>
          <a:off x="8721436" y="4572000"/>
          <a:ext cx="257906" cy="223406"/>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twoCellAnchor>
    <xdr:from>
      <xdr:col>24</xdr:col>
      <xdr:colOff>270164</xdr:colOff>
      <xdr:row>24</xdr:row>
      <xdr:rowOff>69273</xdr:rowOff>
    </xdr:from>
    <xdr:to>
      <xdr:col>24</xdr:col>
      <xdr:colOff>528070</xdr:colOff>
      <xdr:row>25</xdr:row>
      <xdr:rowOff>126424</xdr:rowOff>
    </xdr:to>
    <xdr:sp macro="" textlink="">
      <xdr:nvSpPr>
        <xdr:cNvPr id="43" name="フローチャート: 結合子 34">
          <a:extLst>
            <a:ext uri="{FF2B5EF4-FFF2-40B4-BE49-F238E27FC236}">
              <a16:creationId xmlns:a16="http://schemas.microsoft.com/office/drawing/2014/main" id="{00000000-0008-0000-0F00-00002B000000}"/>
            </a:ext>
          </a:extLst>
        </xdr:cNvPr>
        <xdr:cNvSpPr/>
      </xdr:nvSpPr>
      <xdr:spPr>
        <a:xfrm>
          <a:off x="9019309" y="4572000"/>
          <a:ext cx="257906" cy="223406"/>
        </a:xfrm>
        <a:prstGeom prst="flowChartConnector">
          <a:avLst/>
        </a:prstGeom>
        <a:noFill/>
        <a:ln w="12700" cap="flat" cmpd="sng" algn="ctr">
          <a:solidFill>
            <a:srgbClr val="FF66FF"/>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1" lang="ja-JP" altLang="en-US" sz="1100" b="0" i="0" u="none" strike="noStrike" kern="0" cap="none" spc="0" normalizeH="0" baseline="0" noProof="0">
            <a:ln>
              <a:noFill/>
            </a:ln>
            <a:solidFill>
              <a:sysClr val="window" lastClr="FFFFFF"/>
            </a:solidFill>
            <a:effectLst/>
            <a:uLnTx/>
            <a:uFillTx/>
            <a:latin typeface="Calibri" panose="020F0502020204030204"/>
            <a:ea typeface="ＭＳ Ｐゴシック" panose="020B0600070205080204" pitchFamily="50" charset="-128"/>
            <a:cs typeface="+mn-cs"/>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20</xdr:col>
      <xdr:colOff>133350</xdr:colOff>
      <xdr:row>19</xdr:row>
      <xdr:rowOff>28575</xdr:rowOff>
    </xdr:from>
    <xdr:to>
      <xdr:col>20</xdr:col>
      <xdr:colOff>352425</xdr:colOff>
      <xdr:row>20</xdr:row>
      <xdr:rowOff>85725</xdr:rowOff>
    </xdr:to>
    <xdr:sp macro="" textlink="">
      <xdr:nvSpPr>
        <xdr:cNvPr id="4" name="フローチャート: 結合子 22">
          <a:extLst>
            <a:ext uri="{FF2B5EF4-FFF2-40B4-BE49-F238E27FC236}">
              <a16:creationId xmlns:a16="http://schemas.microsoft.com/office/drawing/2014/main" id="{00000000-0008-0000-1000-000004000000}"/>
            </a:ext>
          </a:extLst>
        </xdr:cNvPr>
        <xdr:cNvSpPr/>
      </xdr:nvSpPr>
      <xdr:spPr>
        <a:xfrm>
          <a:off x="7705725" y="3771900"/>
          <a:ext cx="219075" cy="228600"/>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23</xdr:col>
      <xdr:colOff>161925</xdr:colOff>
      <xdr:row>19</xdr:row>
      <xdr:rowOff>19050</xdr:rowOff>
    </xdr:from>
    <xdr:to>
      <xdr:col>23</xdr:col>
      <xdr:colOff>381000</xdr:colOff>
      <xdr:row>20</xdr:row>
      <xdr:rowOff>76200</xdr:rowOff>
    </xdr:to>
    <xdr:sp macro="" textlink="">
      <xdr:nvSpPr>
        <xdr:cNvPr id="5" name="フローチャート: 結合子 34">
          <a:extLst>
            <a:ext uri="{FF2B5EF4-FFF2-40B4-BE49-F238E27FC236}">
              <a16:creationId xmlns:a16="http://schemas.microsoft.com/office/drawing/2014/main" id="{00000000-0008-0000-1000-000005000000}"/>
            </a:ext>
          </a:extLst>
        </xdr:cNvPr>
        <xdr:cNvSpPr/>
      </xdr:nvSpPr>
      <xdr:spPr>
        <a:xfrm>
          <a:off x="9305925" y="3762375"/>
          <a:ext cx="219075" cy="228600"/>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372241</xdr:colOff>
      <xdr:row>21</xdr:row>
      <xdr:rowOff>131379</xdr:rowOff>
    </xdr:from>
    <xdr:to>
      <xdr:col>19</xdr:col>
      <xdr:colOff>591316</xdr:colOff>
      <xdr:row>23</xdr:row>
      <xdr:rowOff>13357</xdr:rowOff>
    </xdr:to>
    <xdr:sp macro="" textlink="">
      <xdr:nvSpPr>
        <xdr:cNvPr id="6" name="フローチャート: 結合子 22">
          <a:extLst>
            <a:ext uri="{FF2B5EF4-FFF2-40B4-BE49-F238E27FC236}">
              <a16:creationId xmlns:a16="http://schemas.microsoft.com/office/drawing/2014/main" id="{00000000-0008-0000-1000-000006000000}"/>
            </a:ext>
          </a:extLst>
        </xdr:cNvPr>
        <xdr:cNvSpPr/>
      </xdr:nvSpPr>
      <xdr:spPr>
        <a:xfrm>
          <a:off x="7258816" y="4217604"/>
          <a:ext cx="219075" cy="224878"/>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674085</xdr:colOff>
      <xdr:row>21</xdr:row>
      <xdr:rowOff>118022</xdr:rowOff>
    </xdr:from>
    <xdr:to>
      <xdr:col>20</xdr:col>
      <xdr:colOff>203419</xdr:colOff>
      <xdr:row>23</xdr:row>
      <xdr:rowOff>0</xdr:rowOff>
    </xdr:to>
    <xdr:sp macro="" textlink="">
      <xdr:nvSpPr>
        <xdr:cNvPr id="7" name="フローチャート: 結合子 22">
          <a:extLst>
            <a:ext uri="{FF2B5EF4-FFF2-40B4-BE49-F238E27FC236}">
              <a16:creationId xmlns:a16="http://schemas.microsoft.com/office/drawing/2014/main" id="{00000000-0008-0000-1000-000007000000}"/>
            </a:ext>
          </a:extLst>
        </xdr:cNvPr>
        <xdr:cNvSpPr/>
      </xdr:nvSpPr>
      <xdr:spPr>
        <a:xfrm>
          <a:off x="7560660" y="4204247"/>
          <a:ext cx="215134" cy="224878"/>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284655</xdr:colOff>
      <xdr:row>21</xdr:row>
      <xdr:rowOff>120430</xdr:rowOff>
    </xdr:from>
    <xdr:to>
      <xdr:col>20</xdr:col>
      <xdr:colOff>503730</xdr:colOff>
      <xdr:row>23</xdr:row>
      <xdr:rowOff>2408</xdr:rowOff>
    </xdr:to>
    <xdr:sp macro="" textlink="">
      <xdr:nvSpPr>
        <xdr:cNvPr id="8" name="フローチャート: 結合子 22">
          <a:extLst>
            <a:ext uri="{FF2B5EF4-FFF2-40B4-BE49-F238E27FC236}">
              <a16:creationId xmlns:a16="http://schemas.microsoft.com/office/drawing/2014/main" id="{00000000-0008-0000-1000-000008000000}"/>
            </a:ext>
          </a:extLst>
        </xdr:cNvPr>
        <xdr:cNvSpPr/>
      </xdr:nvSpPr>
      <xdr:spPr>
        <a:xfrm>
          <a:off x="7857030" y="4206655"/>
          <a:ext cx="219075" cy="224878"/>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206266</xdr:colOff>
      <xdr:row>22</xdr:row>
      <xdr:rowOff>63938</xdr:rowOff>
    </xdr:from>
    <xdr:to>
      <xdr:col>12</xdr:col>
      <xdr:colOff>425341</xdr:colOff>
      <xdr:row>23</xdr:row>
      <xdr:rowOff>121088</xdr:rowOff>
    </xdr:to>
    <xdr:sp macro="" textlink="">
      <xdr:nvSpPr>
        <xdr:cNvPr id="9" name="フローチャート: 結合子 22">
          <a:extLst>
            <a:ext uri="{FF2B5EF4-FFF2-40B4-BE49-F238E27FC236}">
              <a16:creationId xmlns:a16="http://schemas.microsoft.com/office/drawing/2014/main" id="{00000000-0008-0000-1000-000009000000}"/>
            </a:ext>
          </a:extLst>
        </xdr:cNvPr>
        <xdr:cNvSpPr/>
      </xdr:nvSpPr>
      <xdr:spPr>
        <a:xfrm>
          <a:off x="4368691" y="4321613"/>
          <a:ext cx="219075" cy="228600"/>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227285</xdr:colOff>
      <xdr:row>22</xdr:row>
      <xdr:rowOff>30216</xdr:rowOff>
    </xdr:from>
    <xdr:to>
      <xdr:col>8</xdr:col>
      <xdr:colOff>446360</xdr:colOff>
      <xdr:row>23</xdr:row>
      <xdr:rowOff>87366</xdr:rowOff>
    </xdr:to>
    <xdr:sp macro="" textlink="">
      <xdr:nvSpPr>
        <xdr:cNvPr id="10" name="フローチャート: 結合子 22">
          <a:extLst>
            <a:ext uri="{FF2B5EF4-FFF2-40B4-BE49-F238E27FC236}">
              <a16:creationId xmlns:a16="http://schemas.microsoft.com/office/drawing/2014/main" id="{00000000-0008-0000-1000-00000A000000}"/>
            </a:ext>
          </a:extLst>
        </xdr:cNvPr>
        <xdr:cNvSpPr/>
      </xdr:nvSpPr>
      <xdr:spPr>
        <a:xfrm>
          <a:off x="3040992" y="4354785"/>
          <a:ext cx="219075" cy="232322"/>
        </a:xfrm>
        <a:prstGeom prst="flowChartConnector">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240863</xdr:colOff>
      <xdr:row>22</xdr:row>
      <xdr:rowOff>43793</xdr:rowOff>
    </xdr:from>
    <xdr:to>
      <xdr:col>10</xdr:col>
      <xdr:colOff>120541</xdr:colOff>
      <xdr:row>23</xdr:row>
      <xdr:rowOff>100943</xdr:rowOff>
    </xdr:to>
    <xdr:sp macro="" textlink="">
      <xdr:nvSpPr>
        <xdr:cNvPr id="11" name="フローチャート: 結合子 34">
          <a:extLst>
            <a:ext uri="{FF2B5EF4-FFF2-40B4-BE49-F238E27FC236}">
              <a16:creationId xmlns:a16="http://schemas.microsoft.com/office/drawing/2014/main" id="{00000000-0008-0000-1000-00000B000000}"/>
            </a:ext>
          </a:extLst>
        </xdr:cNvPr>
        <xdr:cNvSpPr/>
      </xdr:nvSpPr>
      <xdr:spPr>
        <a:xfrm>
          <a:off x="3717488" y="4301468"/>
          <a:ext cx="222578" cy="228600"/>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656021</xdr:colOff>
      <xdr:row>24</xdr:row>
      <xdr:rowOff>10072</xdr:rowOff>
    </xdr:from>
    <xdr:to>
      <xdr:col>21</xdr:col>
      <xdr:colOff>185355</xdr:colOff>
      <xdr:row>25</xdr:row>
      <xdr:rowOff>67222</xdr:rowOff>
    </xdr:to>
    <xdr:sp macro="" textlink="">
      <xdr:nvSpPr>
        <xdr:cNvPr id="12" name="フローチャート: 結合子 34">
          <a:extLst>
            <a:ext uri="{FF2B5EF4-FFF2-40B4-BE49-F238E27FC236}">
              <a16:creationId xmlns:a16="http://schemas.microsoft.com/office/drawing/2014/main" id="{00000000-0008-0000-1000-00000C000000}"/>
            </a:ext>
          </a:extLst>
        </xdr:cNvPr>
        <xdr:cNvSpPr/>
      </xdr:nvSpPr>
      <xdr:spPr>
        <a:xfrm>
          <a:off x="8228396" y="4610647"/>
          <a:ext cx="215134" cy="228600"/>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293852</xdr:colOff>
      <xdr:row>23</xdr:row>
      <xdr:rowOff>173421</xdr:rowOff>
    </xdr:from>
    <xdr:to>
      <xdr:col>20</xdr:col>
      <xdr:colOff>512927</xdr:colOff>
      <xdr:row>25</xdr:row>
      <xdr:rowOff>55398</xdr:rowOff>
    </xdr:to>
    <xdr:sp macro="" textlink="">
      <xdr:nvSpPr>
        <xdr:cNvPr id="13" name="フローチャート: 結合子 34">
          <a:extLst>
            <a:ext uri="{FF2B5EF4-FFF2-40B4-BE49-F238E27FC236}">
              <a16:creationId xmlns:a16="http://schemas.microsoft.com/office/drawing/2014/main" id="{00000000-0008-0000-1000-00000D000000}"/>
            </a:ext>
          </a:extLst>
        </xdr:cNvPr>
        <xdr:cNvSpPr/>
      </xdr:nvSpPr>
      <xdr:spPr>
        <a:xfrm>
          <a:off x="7866227" y="4602546"/>
          <a:ext cx="219075" cy="224877"/>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687114</xdr:colOff>
      <xdr:row>24</xdr:row>
      <xdr:rowOff>8321</xdr:rowOff>
    </xdr:from>
    <xdr:to>
      <xdr:col>20</xdr:col>
      <xdr:colOff>216448</xdr:colOff>
      <xdr:row>25</xdr:row>
      <xdr:rowOff>65471</xdr:rowOff>
    </xdr:to>
    <xdr:sp macro="" textlink="">
      <xdr:nvSpPr>
        <xdr:cNvPr id="14" name="フローチャート: 結合子 34">
          <a:extLst>
            <a:ext uri="{FF2B5EF4-FFF2-40B4-BE49-F238E27FC236}">
              <a16:creationId xmlns:a16="http://schemas.microsoft.com/office/drawing/2014/main" id="{00000000-0008-0000-1000-00000E000000}"/>
            </a:ext>
          </a:extLst>
        </xdr:cNvPr>
        <xdr:cNvSpPr/>
      </xdr:nvSpPr>
      <xdr:spPr>
        <a:xfrm>
          <a:off x="7573689" y="4608896"/>
          <a:ext cx="215134" cy="228600"/>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368737</xdr:colOff>
      <xdr:row>24</xdr:row>
      <xdr:rowOff>7444</xdr:rowOff>
    </xdr:from>
    <xdr:to>
      <xdr:col>19</xdr:col>
      <xdr:colOff>587812</xdr:colOff>
      <xdr:row>25</xdr:row>
      <xdr:rowOff>64594</xdr:rowOff>
    </xdr:to>
    <xdr:sp macro="" textlink="">
      <xdr:nvSpPr>
        <xdr:cNvPr id="15" name="フローチャート: 結合子 34">
          <a:extLst>
            <a:ext uri="{FF2B5EF4-FFF2-40B4-BE49-F238E27FC236}">
              <a16:creationId xmlns:a16="http://schemas.microsoft.com/office/drawing/2014/main" id="{00000000-0008-0000-1000-00000F000000}"/>
            </a:ext>
          </a:extLst>
        </xdr:cNvPr>
        <xdr:cNvSpPr/>
      </xdr:nvSpPr>
      <xdr:spPr>
        <a:xfrm>
          <a:off x="7255312" y="4608019"/>
          <a:ext cx="219075" cy="228600"/>
        </a:xfrm>
        <a:prstGeom prst="flowChartConnector">
          <a:avLst/>
        </a:prstGeom>
        <a:noFill/>
        <a:ln>
          <a:solidFill>
            <a:srgbClr val="FF66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0</xdr:colOff>
      <xdr:row>0</xdr:row>
      <xdr:rowOff>0</xdr:rowOff>
    </xdr:from>
    <xdr:to>
      <xdr:col>19</xdr:col>
      <xdr:colOff>62459</xdr:colOff>
      <xdr:row>0</xdr:row>
      <xdr:rowOff>170703</xdr:rowOff>
    </xdr:to>
    <xdr:pic>
      <xdr:nvPicPr>
        <xdr:cNvPr id="17" name="図 16">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twoCellAnchor editAs="oneCell">
    <xdr:from>
      <xdr:col>0</xdr:col>
      <xdr:colOff>0</xdr:colOff>
      <xdr:row>4</xdr:row>
      <xdr:rowOff>0</xdr:rowOff>
    </xdr:from>
    <xdr:to>
      <xdr:col>3</xdr:col>
      <xdr:colOff>265462</xdr:colOff>
      <xdr:row>6</xdr:row>
      <xdr:rowOff>38716</xdr:rowOff>
    </xdr:to>
    <xdr:pic>
      <xdr:nvPicPr>
        <xdr:cNvPr id="19" name="図 18">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2"/>
        <a:stretch>
          <a:fillRect/>
        </a:stretch>
      </xdr:blipFill>
      <xdr:spPr>
        <a:xfrm>
          <a:off x="0" y="1127672"/>
          <a:ext cx="1688738" cy="43285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397560</xdr:colOff>
      <xdr:row>0</xdr:row>
      <xdr:rowOff>170703</xdr:rowOff>
    </xdr:to>
    <xdr:pic>
      <xdr:nvPicPr>
        <xdr:cNvPr id="5" name="図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397560</xdr:colOff>
      <xdr:row>0</xdr:row>
      <xdr:rowOff>170703</xdr:rowOff>
    </xdr:to>
    <xdr:pic>
      <xdr:nvPicPr>
        <xdr:cNvPr id="5" name="図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397560</xdr:colOff>
      <xdr:row>0</xdr:row>
      <xdr:rowOff>170703</xdr:rowOff>
    </xdr:to>
    <xdr:pic>
      <xdr:nvPicPr>
        <xdr:cNvPr id="4" name="図 3">
          <a:extLst>
            <a:ext uri="{FF2B5EF4-FFF2-40B4-BE49-F238E27FC236}">
              <a16:creationId xmlns:a16="http://schemas.microsoft.com/office/drawing/2014/main" id="{00000000-0008-0000-1300-000004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oneCellAnchor>
    <xdr:from>
      <xdr:col>4</xdr:col>
      <xdr:colOff>137160</xdr:colOff>
      <xdr:row>15</xdr:row>
      <xdr:rowOff>144780</xdr:rowOff>
    </xdr:from>
    <xdr:ext cx="525780" cy="425822"/>
    <xdr:sp macro="" textlink="">
      <xdr:nvSpPr>
        <xdr:cNvPr id="5" name="正方形/長方形 4">
          <a:extLst>
            <a:ext uri="{FF2B5EF4-FFF2-40B4-BE49-F238E27FC236}">
              <a16:creationId xmlns:a16="http://schemas.microsoft.com/office/drawing/2014/main" id="{00000000-0008-0000-1400-000005000000}"/>
            </a:ext>
          </a:extLst>
        </xdr:cNvPr>
        <xdr:cNvSpPr/>
      </xdr:nvSpPr>
      <xdr:spPr>
        <a:xfrm>
          <a:off x="891540" y="3299460"/>
          <a:ext cx="525780" cy="425822"/>
        </a:xfrm>
        <a:prstGeom prst="rect">
          <a:avLst/>
        </a:prstGeom>
        <a:noFill/>
      </xdr:spPr>
      <xdr:txBody>
        <a:bodyPr wrap="square" lIns="91440" tIns="45720" rIns="91440" bIns="45720">
          <a:spAutoFit/>
        </a:bodyPr>
        <a:lstStyle/>
        <a:p>
          <a:pPr algn="ctr"/>
          <a:r>
            <a:rPr lang="ja-JP" altLang="en-US" sz="2000" b="1"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６</a:t>
          </a:r>
        </a:p>
      </xdr:txBody>
    </xdr:sp>
    <xdr:clientData/>
  </xdr:oneCellAnchor>
  <xdr:oneCellAnchor>
    <xdr:from>
      <xdr:col>4</xdr:col>
      <xdr:colOff>149860</xdr:colOff>
      <xdr:row>18</xdr:row>
      <xdr:rowOff>175260</xdr:rowOff>
    </xdr:from>
    <xdr:ext cx="531495" cy="425822"/>
    <xdr:sp macro="" textlink="">
      <xdr:nvSpPr>
        <xdr:cNvPr id="7" name="正方形/長方形 6">
          <a:extLst>
            <a:ext uri="{FF2B5EF4-FFF2-40B4-BE49-F238E27FC236}">
              <a16:creationId xmlns:a16="http://schemas.microsoft.com/office/drawing/2014/main" id="{00000000-0008-0000-1400-000007000000}"/>
            </a:ext>
          </a:extLst>
        </xdr:cNvPr>
        <xdr:cNvSpPr/>
      </xdr:nvSpPr>
      <xdr:spPr>
        <a:xfrm>
          <a:off x="1013460" y="3985260"/>
          <a:ext cx="531495" cy="425822"/>
        </a:xfrm>
        <a:prstGeom prst="rect">
          <a:avLst/>
        </a:prstGeom>
        <a:noFill/>
      </xdr:spPr>
      <xdr:txBody>
        <a:bodyPr wrap="square" lIns="91440" tIns="45720" rIns="91440" bIns="45720">
          <a:spAutoFit/>
        </a:bodyPr>
        <a:lstStyle/>
        <a:p>
          <a:pPr algn="ctr"/>
          <a:r>
            <a:rPr lang="ja-JP" altLang="en-US" sz="2000" b="1"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９</a:t>
          </a:r>
        </a:p>
      </xdr:txBody>
    </xdr:sp>
    <xdr:clientData/>
  </xdr:oneCellAnchor>
  <xdr:oneCellAnchor>
    <xdr:from>
      <xdr:col>4</xdr:col>
      <xdr:colOff>0</xdr:colOff>
      <xdr:row>17</xdr:row>
      <xdr:rowOff>118518</xdr:rowOff>
    </xdr:from>
    <xdr:ext cx="826770" cy="275717"/>
    <xdr:sp macro="" textlink="">
      <xdr:nvSpPr>
        <xdr:cNvPr id="8" name="正方形/長方形 7">
          <a:extLst>
            <a:ext uri="{FF2B5EF4-FFF2-40B4-BE49-F238E27FC236}">
              <a16:creationId xmlns:a16="http://schemas.microsoft.com/office/drawing/2014/main" id="{00000000-0008-0000-1400-000008000000}"/>
            </a:ext>
          </a:extLst>
        </xdr:cNvPr>
        <xdr:cNvSpPr/>
      </xdr:nvSpPr>
      <xdr:spPr>
        <a:xfrm>
          <a:off x="754380" y="3608478"/>
          <a:ext cx="826770" cy="275717"/>
        </a:xfrm>
        <a:prstGeom prst="rect">
          <a:avLst/>
        </a:prstGeom>
        <a:noFill/>
      </xdr:spPr>
      <xdr:txBody>
        <a:bodyPr wrap="square" lIns="91440" tIns="45720" rIns="91440" bIns="45720">
          <a:spAutoFit/>
        </a:bodyPr>
        <a:lstStyle/>
        <a:p>
          <a:pPr algn="ctr"/>
          <a:r>
            <a:rPr lang="ja-JP" altLang="en-US" sz="1100" b="0" cap="none" spc="0">
              <a:ln w="0"/>
              <a:solidFill>
                <a:schemeClr val="bg1"/>
              </a:solidFill>
              <a:effectLst>
                <a:outerShdw blurRad="38100" dist="19050" dir="2700000" algn="tl" rotWithShape="0">
                  <a:schemeClr val="dk1">
                    <a:alpha val="40000"/>
                  </a:schemeClr>
                </a:outerShdw>
              </a:effectLst>
            </a:rPr>
            <a:t>（３３）</a:t>
          </a:r>
        </a:p>
      </xdr:txBody>
    </xdr:sp>
    <xdr:clientData/>
  </xdr:oneCellAnchor>
  <xdr:twoCellAnchor editAs="oneCell">
    <xdr:from>
      <xdr:col>0</xdr:col>
      <xdr:colOff>12700</xdr:colOff>
      <xdr:row>0</xdr:row>
      <xdr:rowOff>0</xdr:rowOff>
    </xdr:from>
    <xdr:to>
      <xdr:col>21</xdr:col>
      <xdr:colOff>185518</xdr:colOff>
      <xdr:row>0</xdr:row>
      <xdr:rowOff>170703</xdr:rowOff>
    </xdr:to>
    <xdr:pic>
      <xdr:nvPicPr>
        <xdr:cNvPr id="3" name="図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stretch>
          <a:fillRect/>
        </a:stretch>
      </xdr:blipFill>
      <xdr:spPr>
        <a:xfrm>
          <a:off x="12700" y="0"/>
          <a:ext cx="6992718" cy="170703"/>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oneCellAnchor>
    <xdr:from>
      <xdr:col>4</xdr:col>
      <xdr:colOff>137160</xdr:colOff>
      <xdr:row>15</xdr:row>
      <xdr:rowOff>144780</xdr:rowOff>
    </xdr:from>
    <xdr:ext cx="525780" cy="425822"/>
    <xdr:sp macro="" textlink="">
      <xdr:nvSpPr>
        <xdr:cNvPr id="2" name="正方形/長方形 1">
          <a:extLst>
            <a:ext uri="{FF2B5EF4-FFF2-40B4-BE49-F238E27FC236}">
              <a16:creationId xmlns:a16="http://schemas.microsoft.com/office/drawing/2014/main" id="{00000000-0008-0000-1500-000002000000}"/>
            </a:ext>
          </a:extLst>
        </xdr:cNvPr>
        <xdr:cNvSpPr/>
      </xdr:nvSpPr>
      <xdr:spPr>
        <a:xfrm>
          <a:off x="984885" y="3345180"/>
          <a:ext cx="525780" cy="425822"/>
        </a:xfrm>
        <a:prstGeom prst="rect">
          <a:avLst/>
        </a:prstGeom>
        <a:noFill/>
      </xdr:spPr>
      <xdr:txBody>
        <a:bodyPr wrap="square" lIns="91440" tIns="45720" rIns="91440" bIns="45720">
          <a:spAutoFit/>
        </a:bodyPr>
        <a:lstStyle/>
        <a:p>
          <a:pPr algn="ctr"/>
          <a:r>
            <a:rPr lang="ja-JP" altLang="en-US" sz="2000" b="1"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６</a:t>
          </a:r>
        </a:p>
      </xdr:txBody>
    </xdr:sp>
    <xdr:clientData/>
  </xdr:oneCellAnchor>
  <xdr:oneCellAnchor>
    <xdr:from>
      <xdr:col>4</xdr:col>
      <xdr:colOff>137160</xdr:colOff>
      <xdr:row>18</xdr:row>
      <xdr:rowOff>175260</xdr:rowOff>
    </xdr:from>
    <xdr:ext cx="531495" cy="425822"/>
    <xdr:sp macro="" textlink="">
      <xdr:nvSpPr>
        <xdr:cNvPr id="3" name="正方形/長方形 2">
          <a:extLst>
            <a:ext uri="{FF2B5EF4-FFF2-40B4-BE49-F238E27FC236}">
              <a16:creationId xmlns:a16="http://schemas.microsoft.com/office/drawing/2014/main" id="{00000000-0008-0000-1500-000003000000}"/>
            </a:ext>
          </a:extLst>
        </xdr:cNvPr>
        <xdr:cNvSpPr/>
      </xdr:nvSpPr>
      <xdr:spPr>
        <a:xfrm>
          <a:off x="1000760" y="3985260"/>
          <a:ext cx="531495" cy="425822"/>
        </a:xfrm>
        <a:prstGeom prst="rect">
          <a:avLst/>
        </a:prstGeom>
        <a:noFill/>
      </xdr:spPr>
      <xdr:txBody>
        <a:bodyPr wrap="square" lIns="91440" tIns="45720" rIns="91440" bIns="45720">
          <a:spAutoFit/>
        </a:bodyPr>
        <a:lstStyle/>
        <a:p>
          <a:pPr algn="ctr"/>
          <a:r>
            <a:rPr lang="ja-JP" altLang="en-US" sz="2000" b="1"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９</a:t>
          </a:r>
        </a:p>
      </xdr:txBody>
    </xdr:sp>
    <xdr:clientData/>
  </xdr:oneCellAnchor>
  <xdr:oneCellAnchor>
    <xdr:from>
      <xdr:col>4</xdr:col>
      <xdr:colOff>0</xdr:colOff>
      <xdr:row>17</xdr:row>
      <xdr:rowOff>118518</xdr:rowOff>
    </xdr:from>
    <xdr:ext cx="826770" cy="275717"/>
    <xdr:sp macro="" textlink="">
      <xdr:nvSpPr>
        <xdr:cNvPr id="4" name="正方形/長方形 3">
          <a:extLst>
            <a:ext uri="{FF2B5EF4-FFF2-40B4-BE49-F238E27FC236}">
              <a16:creationId xmlns:a16="http://schemas.microsoft.com/office/drawing/2014/main" id="{00000000-0008-0000-1500-000004000000}"/>
            </a:ext>
          </a:extLst>
        </xdr:cNvPr>
        <xdr:cNvSpPr/>
      </xdr:nvSpPr>
      <xdr:spPr>
        <a:xfrm>
          <a:off x="847725" y="3661818"/>
          <a:ext cx="826770" cy="275717"/>
        </a:xfrm>
        <a:prstGeom prst="rect">
          <a:avLst/>
        </a:prstGeom>
        <a:noFill/>
      </xdr:spPr>
      <xdr:txBody>
        <a:bodyPr wrap="square" lIns="91440" tIns="45720" rIns="91440" bIns="45720">
          <a:spAutoFit/>
        </a:bodyPr>
        <a:lstStyle/>
        <a:p>
          <a:pPr algn="ctr"/>
          <a:r>
            <a:rPr lang="ja-JP" altLang="en-US" sz="1100" b="0"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（３３）</a:t>
          </a:r>
        </a:p>
      </xdr:txBody>
    </xdr:sp>
    <xdr:clientData/>
  </xdr:oneCellAnchor>
  <xdr:twoCellAnchor editAs="oneCell">
    <xdr:from>
      <xdr:col>0</xdr:col>
      <xdr:colOff>0</xdr:colOff>
      <xdr:row>0</xdr:row>
      <xdr:rowOff>0</xdr:rowOff>
    </xdr:from>
    <xdr:to>
      <xdr:col>21</xdr:col>
      <xdr:colOff>172818</xdr:colOff>
      <xdr:row>0</xdr:row>
      <xdr:rowOff>170703</xdr:rowOff>
    </xdr:to>
    <xdr:pic>
      <xdr:nvPicPr>
        <xdr:cNvPr id="8" name="図 7">
          <a:extLst>
            <a:ext uri="{FF2B5EF4-FFF2-40B4-BE49-F238E27FC236}">
              <a16:creationId xmlns:a16="http://schemas.microsoft.com/office/drawing/2014/main" id="{00000000-0008-0000-1500-000008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4</xdr:col>
      <xdr:colOff>149860</xdr:colOff>
      <xdr:row>15</xdr:row>
      <xdr:rowOff>170180</xdr:rowOff>
    </xdr:from>
    <xdr:ext cx="525780" cy="425822"/>
    <xdr:sp macro="" textlink="">
      <xdr:nvSpPr>
        <xdr:cNvPr id="2" name="正方形/長方形 1">
          <a:extLst>
            <a:ext uri="{FF2B5EF4-FFF2-40B4-BE49-F238E27FC236}">
              <a16:creationId xmlns:a16="http://schemas.microsoft.com/office/drawing/2014/main" id="{00000000-0008-0000-1600-000002000000}"/>
            </a:ext>
          </a:extLst>
        </xdr:cNvPr>
        <xdr:cNvSpPr/>
      </xdr:nvSpPr>
      <xdr:spPr>
        <a:xfrm>
          <a:off x="1013460" y="3446780"/>
          <a:ext cx="525780" cy="425822"/>
        </a:xfrm>
        <a:prstGeom prst="rect">
          <a:avLst/>
        </a:prstGeom>
        <a:noFill/>
      </xdr:spPr>
      <xdr:txBody>
        <a:bodyPr wrap="square" lIns="91440" tIns="45720" rIns="91440" bIns="45720">
          <a:spAutoFit/>
        </a:bodyPr>
        <a:lstStyle/>
        <a:p>
          <a:pPr algn="ctr"/>
          <a:r>
            <a:rPr lang="ja-JP" altLang="en-US" sz="2000" b="1"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６</a:t>
          </a:r>
        </a:p>
      </xdr:txBody>
    </xdr:sp>
    <xdr:clientData/>
  </xdr:oneCellAnchor>
  <xdr:oneCellAnchor>
    <xdr:from>
      <xdr:col>4</xdr:col>
      <xdr:colOff>162560</xdr:colOff>
      <xdr:row>18</xdr:row>
      <xdr:rowOff>175260</xdr:rowOff>
    </xdr:from>
    <xdr:ext cx="531495" cy="425822"/>
    <xdr:sp macro="" textlink="">
      <xdr:nvSpPr>
        <xdr:cNvPr id="3" name="正方形/長方形 2">
          <a:extLst>
            <a:ext uri="{FF2B5EF4-FFF2-40B4-BE49-F238E27FC236}">
              <a16:creationId xmlns:a16="http://schemas.microsoft.com/office/drawing/2014/main" id="{00000000-0008-0000-1600-000003000000}"/>
            </a:ext>
          </a:extLst>
        </xdr:cNvPr>
        <xdr:cNvSpPr/>
      </xdr:nvSpPr>
      <xdr:spPr>
        <a:xfrm>
          <a:off x="1026160" y="3985260"/>
          <a:ext cx="531495" cy="425822"/>
        </a:xfrm>
        <a:prstGeom prst="rect">
          <a:avLst/>
        </a:prstGeom>
        <a:noFill/>
      </xdr:spPr>
      <xdr:txBody>
        <a:bodyPr wrap="square" lIns="91440" tIns="45720" rIns="91440" bIns="45720">
          <a:spAutoFit/>
        </a:bodyPr>
        <a:lstStyle/>
        <a:p>
          <a:pPr algn="ctr"/>
          <a:r>
            <a:rPr lang="ja-JP" altLang="en-US" sz="2000" b="1"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９</a:t>
          </a:r>
        </a:p>
      </xdr:txBody>
    </xdr:sp>
    <xdr:clientData/>
  </xdr:oneCellAnchor>
  <xdr:oneCellAnchor>
    <xdr:from>
      <xdr:col>4</xdr:col>
      <xdr:colOff>0</xdr:colOff>
      <xdr:row>17</xdr:row>
      <xdr:rowOff>118518</xdr:rowOff>
    </xdr:from>
    <xdr:ext cx="826770" cy="275717"/>
    <xdr:sp macro="" textlink="">
      <xdr:nvSpPr>
        <xdr:cNvPr id="4" name="正方形/長方形 3">
          <a:extLst>
            <a:ext uri="{FF2B5EF4-FFF2-40B4-BE49-F238E27FC236}">
              <a16:creationId xmlns:a16="http://schemas.microsoft.com/office/drawing/2014/main" id="{00000000-0008-0000-1600-000004000000}"/>
            </a:ext>
          </a:extLst>
        </xdr:cNvPr>
        <xdr:cNvSpPr/>
      </xdr:nvSpPr>
      <xdr:spPr>
        <a:xfrm>
          <a:off x="847725" y="3661818"/>
          <a:ext cx="826770" cy="275717"/>
        </a:xfrm>
        <a:prstGeom prst="rect">
          <a:avLst/>
        </a:prstGeom>
        <a:noFill/>
      </xdr:spPr>
      <xdr:txBody>
        <a:bodyPr wrap="square" lIns="91440" tIns="45720" rIns="91440" bIns="45720">
          <a:spAutoFit/>
        </a:bodyPr>
        <a:lstStyle/>
        <a:p>
          <a:pPr algn="ctr"/>
          <a:r>
            <a:rPr lang="ja-JP" altLang="en-US" sz="1100" b="0" cap="none" spc="0">
              <a:ln w="0"/>
              <a:solidFill>
                <a:schemeClr val="bg1"/>
              </a:solidFill>
              <a:effectLst>
                <a:outerShdw blurRad="38100" dist="19050" dir="2700000" algn="tl" rotWithShape="0">
                  <a:schemeClr val="dk1">
                    <a:alpha val="40000"/>
                  </a:schemeClr>
                </a:outerShdw>
              </a:effectLst>
            </a:rPr>
            <a:t>（３３）</a:t>
          </a:r>
        </a:p>
      </xdr:txBody>
    </xdr:sp>
    <xdr:clientData/>
  </xdr:oneCellAnchor>
  <xdr:twoCellAnchor editAs="oneCell">
    <xdr:from>
      <xdr:col>0</xdr:col>
      <xdr:colOff>0</xdr:colOff>
      <xdr:row>0</xdr:row>
      <xdr:rowOff>0</xdr:rowOff>
    </xdr:from>
    <xdr:to>
      <xdr:col>21</xdr:col>
      <xdr:colOff>172818</xdr:colOff>
      <xdr:row>0</xdr:row>
      <xdr:rowOff>170703</xdr:rowOff>
    </xdr:to>
    <xdr:pic>
      <xdr:nvPicPr>
        <xdr:cNvPr id="8" name="図 7">
          <a:extLst>
            <a:ext uri="{FF2B5EF4-FFF2-40B4-BE49-F238E27FC236}">
              <a16:creationId xmlns:a16="http://schemas.microsoft.com/office/drawing/2014/main" id="{00000000-0008-0000-1600-000008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oneCellAnchor>
    <xdr:from>
      <xdr:col>4</xdr:col>
      <xdr:colOff>137160</xdr:colOff>
      <xdr:row>15</xdr:row>
      <xdr:rowOff>144780</xdr:rowOff>
    </xdr:from>
    <xdr:ext cx="525780" cy="425822"/>
    <xdr:sp macro="" textlink="">
      <xdr:nvSpPr>
        <xdr:cNvPr id="2" name="正方形/長方形 1">
          <a:extLst>
            <a:ext uri="{FF2B5EF4-FFF2-40B4-BE49-F238E27FC236}">
              <a16:creationId xmlns:a16="http://schemas.microsoft.com/office/drawing/2014/main" id="{00000000-0008-0000-1700-000002000000}"/>
            </a:ext>
          </a:extLst>
        </xdr:cNvPr>
        <xdr:cNvSpPr/>
      </xdr:nvSpPr>
      <xdr:spPr>
        <a:xfrm>
          <a:off x="984885" y="3345180"/>
          <a:ext cx="525780" cy="425822"/>
        </a:xfrm>
        <a:prstGeom prst="rect">
          <a:avLst/>
        </a:prstGeom>
        <a:noFill/>
      </xdr:spPr>
      <xdr:txBody>
        <a:bodyPr wrap="square" lIns="91440" tIns="45720" rIns="91440" bIns="45720">
          <a:spAutoFit/>
        </a:bodyPr>
        <a:lstStyle/>
        <a:p>
          <a:pPr algn="ctr"/>
          <a:r>
            <a:rPr lang="ja-JP" altLang="en-US" sz="2000" b="1" cap="none" spc="0">
              <a:ln w="0"/>
              <a:solidFill>
                <a:schemeClr val="bg1"/>
              </a:solidFill>
              <a:effectLst>
                <a:outerShdw blurRad="38100" dist="19050" dir="2700000" algn="tl" rotWithShape="0">
                  <a:schemeClr val="dk1">
                    <a:alpha val="40000"/>
                  </a:schemeClr>
                </a:outerShdw>
              </a:effectLst>
            </a:rPr>
            <a:t>６</a:t>
          </a:r>
        </a:p>
      </xdr:txBody>
    </xdr:sp>
    <xdr:clientData/>
  </xdr:oneCellAnchor>
  <xdr:oneCellAnchor>
    <xdr:from>
      <xdr:col>4</xdr:col>
      <xdr:colOff>162560</xdr:colOff>
      <xdr:row>19</xdr:row>
      <xdr:rowOff>10160</xdr:rowOff>
    </xdr:from>
    <xdr:ext cx="531495" cy="425822"/>
    <xdr:sp macro="" textlink="">
      <xdr:nvSpPr>
        <xdr:cNvPr id="3" name="正方形/長方形 2">
          <a:extLst>
            <a:ext uri="{FF2B5EF4-FFF2-40B4-BE49-F238E27FC236}">
              <a16:creationId xmlns:a16="http://schemas.microsoft.com/office/drawing/2014/main" id="{00000000-0008-0000-1700-000003000000}"/>
            </a:ext>
          </a:extLst>
        </xdr:cNvPr>
        <xdr:cNvSpPr/>
      </xdr:nvSpPr>
      <xdr:spPr>
        <a:xfrm>
          <a:off x="1026160" y="3997960"/>
          <a:ext cx="531495" cy="425822"/>
        </a:xfrm>
        <a:prstGeom prst="rect">
          <a:avLst/>
        </a:prstGeom>
        <a:noFill/>
      </xdr:spPr>
      <xdr:txBody>
        <a:bodyPr wrap="square" lIns="91440" tIns="45720" rIns="91440" bIns="45720">
          <a:spAutoFit/>
        </a:bodyPr>
        <a:lstStyle/>
        <a:p>
          <a:pPr algn="ctr"/>
          <a:r>
            <a:rPr lang="ja-JP" altLang="en-US" sz="2000" b="1"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９</a:t>
          </a:r>
        </a:p>
      </xdr:txBody>
    </xdr:sp>
    <xdr:clientData/>
  </xdr:oneCellAnchor>
  <xdr:oneCellAnchor>
    <xdr:from>
      <xdr:col>4</xdr:col>
      <xdr:colOff>0</xdr:colOff>
      <xdr:row>17</xdr:row>
      <xdr:rowOff>118518</xdr:rowOff>
    </xdr:from>
    <xdr:ext cx="826770" cy="275717"/>
    <xdr:sp macro="" textlink="">
      <xdr:nvSpPr>
        <xdr:cNvPr id="4" name="正方形/長方形 3">
          <a:extLst>
            <a:ext uri="{FF2B5EF4-FFF2-40B4-BE49-F238E27FC236}">
              <a16:creationId xmlns:a16="http://schemas.microsoft.com/office/drawing/2014/main" id="{00000000-0008-0000-1700-000004000000}"/>
            </a:ext>
          </a:extLst>
        </xdr:cNvPr>
        <xdr:cNvSpPr/>
      </xdr:nvSpPr>
      <xdr:spPr>
        <a:xfrm>
          <a:off x="847725" y="3661818"/>
          <a:ext cx="826770" cy="275717"/>
        </a:xfrm>
        <a:prstGeom prst="rect">
          <a:avLst/>
        </a:prstGeom>
        <a:noFill/>
      </xdr:spPr>
      <xdr:txBody>
        <a:bodyPr wrap="square" lIns="91440" tIns="45720" rIns="91440" bIns="45720">
          <a:spAutoFit/>
        </a:bodyPr>
        <a:lstStyle/>
        <a:p>
          <a:pPr algn="ctr"/>
          <a:r>
            <a:rPr lang="ja-JP" altLang="en-US" sz="1100" b="0" cap="none" spc="0">
              <a:ln w="0"/>
              <a:solidFill>
                <a:schemeClr val="bg1"/>
              </a:solidFill>
              <a:effectLst>
                <a:outerShdw blurRad="38100" dist="19050" dir="2700000" algn="tl" rotWithShape="0">
                  <a:schemeClr val="dk1">
                    <a:alpha val="40000"/>
                  </a:schemeClr>
                </a:outerShdw>
              </a:effectLst>
              <a:latin typeface="AR P教科書体M" panose="03000600000000000000" pitchFamily="66" charset="-128"/>
              <a:ea typeface="AR P教科書体M" panose="03000600000000000000" pitchFamily="66" charset="-128"/>
            </a:rPr>
            <a:t>（３３）</a:t>
          </a:r>
        </a:p>
      </xdr:txBody>
    </xdr:sp>
    <xdr:clientData/>
  </xdr:oneCellAnchor>
  <xdr:twoCellAnchor editAs="oneCell">
    <xdr:from>
      <xdr:col>0</xdr:col>
      <xdr:colOff>0</xdr:colOff>
      <xdr:row>0</xdr:row>
      <xdr:rowOff>0</xdr:rowOff>
    </xdr:from>
    <xdr:to>
      <xdr:col>21</xdr:col>
      <xdr:colOff>172818</xdr:colOff>
      <xdr:row>0</xdr:row>
      <xdr:rowOff>170703</xdr:rowOff>
    </xdr:to>
    <xdr:pic>
      <xdr:nvPicPr>
        <xdr:cNvPr id="8" name="図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2</xdr:col>
      <xdr:colOff>316389</xdr:colOff>
      <xdr:row>13</xdr:row>
      <xdr:rowOff>106181</xdr:rowOff>
    </xdr:from>
    <xdr:to>
      <xdr:col>10</xdr:col>
      <xdr:colOff>353403</xdr:colOff>
      <xdr:row>23</xdr:row>
      <xdr:rowOff>116332</xdr:rowOff>
    </xdr:to>
    <xdr:sp macro="" textlink="">
      <xdr:nvSpPr>
        <xdr:cNvPr id="4" name="フリーフォーム 3">
          <a:extLst>
            <a:ext uri="{FF2B5EF4-FFF2-40B4-BE49-F238E27FC236}">
              <a16:creationId xmlns:a16="http://schemas.microsoft.com/office/drawing/2014/main" id="{00000000-0008-0000-1800-000004000000}"/>
            </a:ext>
          </a:extLst>
        </xdr:cNvPr>
        <xdr:cNvSpPr/>
      </xdr:nvSpPr>
      <xdr:spPr>
        <a:xfrm>
          <a:off x="1124109" y="2849381"/>
          <a:ext cx="4426134" cy="2296151"/>
        </a:xfrm>
        <a:custGeom>
          <a:avLst/>
          <a:gdLst>
            <a:gd name="connsiteX0" fmla="*/ 0 w 4582584"/>
            <a:gd name="connsiteY0" fmla="*/ 1915584 h 1915584"/>
            <a:gd name="connsiteX1" fmla="*/ 624417 w 4582584"/>
            <a:gd name="connsiteY1" fmla="*/ 931334 h 1915584"/>
            <a:gd name="connsiteX2" fmla="*/ 1206500 w 4582584"/>
            <a:gd name="connsiteY2" fmla="*/ 709084 h 1915584"/>
            <a:gd name="connsiteX3" fmla="*/ 1778000 w 4582584"/>
            <a:gd name="connsiteY3" fmla="*/ 0 h 1915584"/>
            <a:gd name="connsiteX4" fmla="*/ 2296584 w 4582584"/>
            <a:gd name="connsiteY4" fmla="*/ 529167 h 1915584"/>
            <a:gd name="connsiteX5" fmla="*/ 2910417 w 4582584"/>
            <a:gd name="connsiteY5" fmla="*/ 1005417 h 1915584"/>
            <a:gd name="connsiteX6" fmla="*/ 3407834 w 4582584"/>
            <a:gd name="connsiteY6" fmla="*/ 1238250 h 1915584"/>
            <a:gd name="connsiteX7" fmla="*/ 3958167 w 4582584"/>
            <a:gd name="connsiteY7" fmla="*/ 1439334 h 1915584"/>
            <a:gd name="connsiteX8" fmla="*/ 4582584 w 4582584"/>
            <a:gd name="connsiteY8" fmla="*/ 1651000 h 1915584"/>
            <a:gd name="connsiteX0" fmla="*/ 0 w 4582584"/>
            <a:gd name="connsiteY0" fmla="*/ 1915584 h 1915584"/>
            <a:gd name="connsiteX1" fmla="*/ 709083 w 4582584"/>
            <a:gd name="connsiteY1" fmla="*/ 1418167 h 1915584"/>
            <a:gd name="connsiteX2" fmla="*/ 1206500 w 4582584"/>
            <a:gd name="connsiteY2" fmla="*/ 709084 h 1915584"/>
            <a:gd name="connsiteX3" fmla="*/ 1778000 w 4582584"/>
            <a:gd name="connsiteY3" fmla="*/ 0 h 1915584"/>
            <a:gd name="connsiteX4" fmla="*/ 2296584 w 4582584"/>
            <a:gd name="connsiteY4" fmla="*/ 529167 h 1915584"/>
            <a:gd name="connsiteX5" fmla="*/ 2910417 w 4582584"/>
            <a:gd name="connsiteY5" fmla="*/ 1005417 h 1915584"/>
            <a:gd name="connsiteX6" fmla="*/ 3407834 w 4582584"/>
            <a:gd name="connsiteY6" fmla="*/ 1238250 h 1915584"/>
            <a:gd name="connsiteX7" fmla="*/ 3958167 w 4582584"/>
            <a:gd name="connsiteY7" fmla="*/ 1439334 h 1915584"/>
            <a:gd name="connsiteX8" fmla="*/ 4582584 w 4582584"/>
            <a:gd name="connsiteY8" fmla="*/ 1651000 h 1915584"/>
            <a:gd name="connsiteX0" fmla="*/ 0 w 4582584"/>
            <a:gd name="connsiteY0" fmla="*/ 1915584 h 1915584"/>
            <a:gd name="connsiteX1" fmla="*/ 709083 w 4582584"/>
            <a:gd name="connsiteY1" fmla="*/ 1418167 h 1915584"/>
            <a:gd name="connsiteX2" fmla="*/ 1206500 w 4582584"/>
            <a:gd name="connsiteY2" fmla="*/ 709084 h 1915584"/>
            <a:gd name="connsiteX3" fmla="*/ 1195917 w 4582584"/>
            <a:gd name="connsiteY3" fmla="*/ 264584 h 1915584"/>
            <a:gd name="connsiteX4" fmla="*/ 1778000 w 4582584"/>
            <a:gd name="connsiteY4" fmla="*/ 0 h 1915584"/>
            <a:gd name="connsiteX5" fmla="*/ 2296584 w 4582584"/>
            <a:gd name="connsiteY5" fmla="*/ 529167 h 1915584"/>
            <a:gd name="connsiteX6" fmla="*/ 2910417 w 4582584"/>
            <a:gd name="connsiteY6" fmla="*/ 1005417 h 1915584"/>
            <a:gd name="connsiteX7" fmla="*/ 3407834 w 4582584"/>
            <a:gd name="connsiteY7" fmla="*/ 1238250 h 1915584"/>
            <a:gd name="connsiteX8" fmla="*/ 3958167 w 4582584"/>
            <a:gd name="connsiteY8" fmla="*/ 1439334 h 1915584"/>
            <a:gd name="connsiteX9" fmla="*/ 4582584 w 4582584"/>
            <a:gd name="connsiteY9" fmla="*/ 1651000 h 1915584"/>
            <a:gd name="connsiteX0" fmla="*/ 0 w 4582584"/>
            <a:gd name="connsiteY0" fmla="*/ 1651000 h 1651000"/>
            <a:gd name="connsiteX1" fmla="*/ 709083 w 4582584"/>
            <a:gd name="connsiteY1" fmla="*/ 1153583 h 1651000"/>
            <a:gd name="connsiteX2" fmla="*/ 1206500 w 4582584"/>
            <a:gd name="connsiteY2" fmla="*/ 444500 h 1651000"/>
            <a:gd name="connsiteX3" fmla="*/ 1195917 w 4582584"/>
            <a:gd name="connsiteY3" fmla="*/ 0 h 1651000"/>
            <a:gd name="connsiteX4" fmla="*/ 1735666 w 4582584"/>
            <a:gd name="connsiteY4" fmla="*/ 306916 h 1651000"/>
            <a:gd name="connsiteX5" fmla="*/ 2296584 w 4582584"/>
            <a:gd name="connsiteY5" fmla="*/ 264583 h 1651000"/>
            <a:gd name="connsiteX6" fmla="*/ 2910417 w 4582584"/>
            <a:gd name="connsiteY6" fmla="*/ 740833 h 1651000"/>
            <a:gd name="connsiteX7" fmla="*/ 3407834 w 4582584"/>
            <a:gd name="connsiteY7" fmla="*/ 973666 h 1651000"/>
            <a:gd name="connsiteX8" fmla="*/ 3958167 w 4582584"/>
            <a:gd name="connsiteY8" fmla="*/ 1174750 h 1651000"/>
            <a:gd name="connsiteX9" fmla="*/ 4582584 w 4582584"/>
            <a:gd name="connsiteY9" fmla="*/ 1386416 h 1651000"/>
            <a:gd name="connsiteX0" fmla="*/ 0 w 4582584"/>
            <a:gd name="connsiteY0" fmla="*/ 1651000 h 1651000"/>
            <a:gd name="connsiteX1" fmla="*/ 709083 w 4582584"/>
            <a:gd name="connsiteY1" fmla="*/ 1153583 h 1651000"/>
            <a:gd name="connsiteX2" fmla="*/ 1206500 w 4582584"/>
            <a:gd name="connsiteY2" fmla="*/ 444500 h 1651000"/>
            <a:gd name="connsiteX3" fmla="*/ 1195917 w 4582584"/>
            <a:gd name="connsiteY3" fmla="*/ 0 h 1651000"/>
            <a:gd name="connsiteX4" fmla="*/ 1735666 w 4582584"/>
            <a:gd name="connsiteY4" fmla="*/ 306916 h 1651000"/>
            <a:gd name="connsiteX5" fmla="*/ 2349501 w 4582584"/>
            <a:gd name="connsiteY5" fmla="*/ 973667 h 1651000"/>
            <a:gd name="connsiteX6" fmla="*/ 2910417 w 4582584"/>
            <a:gd name="connsiteY6" fmla="*/ 740833 h 1651000"/>
            <a:gd name="connsiteX7" fmla="*/ 3407834 w 4582584"/>
            <a:gd name="connsiteY7" fmla="*/ 973666 h 1651000"/>
            <a:gd name="connsiteX8" fmla="*/ 3958167 w 4582584"/>
            <a:gd name="connsiteY8" fmla="*/ 1174750 h 1651000"/>
            <a:gd name="connsiteX9" fmla="*/ 4582584 w 4582584"/>
            <a:gd name="connsiteY9" fmla="*/ 1386416 h 1651000"/>
            <a:gd name="connsiteX0" fmla="*/ 0 w 4582584"/>
            <a:gd name="connsiteY0" fmla="*/ 1651000 h 1651000"/>
            <a:gd name="connsiteX1" fmla="*/ 709083 w 4582584"/>
            <a:gd name="connsiteY1" fmla="*/ 1153583 h 1651000"/>
            <a:gd name="connsiteX2" fmla="*/ 1206500 w 4582584"/>
            <a:gd name="connsiteY2" fmla="*/ 444500 h 1651000"/>
            <a:gd name="connsiteX3" fmla="*/ 1195917 w 4582584"/>
            <a:gd name="connsiteY3" fmla="*/ 0 h 1651000"/>
            <a:gd name="connsiteX4" fmla="*/ 1735666 w 4582584"/>
            <a:gd name="connsiteY4" fmla="*/ 306916 h 1651000"/>
            <a:gd name="connsiteX5" fmla="*/ 2349501 w 4582584"/>
            <a:gd name="connsiteY5" fmla="*/ 973667 h 1651000"/>
            <a:gd name="connsiteX6" fmla="*/ 2878667 w 4582584"/>
            <a:gd name="connsiteY6" fmla="*/ 370416 h 1651000"/>
            <a:gd name="connsiteX7" fmla="*/ 3407834 w 4582584"/>
            <a:gd name="connsiteY7" fmla="*/ 973666 h 1651000"/>
            <a:gd name="connsiteX8" fmla="*/ 3958167 w 4582584"/>
            <a:gd name="connsiteY8" fmla="*/ 1174750 h 1651000"/>
            <a:gd name="connsiteX9" fmla="*/ 4582584 w 4582584"/>
            <a:gd name="connsiteY9" fmla="*/ 1386416 h 1651000"/>
            <a:gd name="connsiteX0" fmla="*/ 0 w 4582584"/>
            <a:gd name="connsiteY0" fmla="*/ 1651000 h 1651000"/>
            <a:gd name="connsiteX1" fmla="*/ 709083 w 4582584"/>
            <a:gd name="connsiteY1" fmla="*/ 1153583 h 1651000"/>
            <a:gd name="connsiteX2" fmla="*/ 1206500 w 4582584"/>
            <a:gd name="connsiteY2" fmla="*/ 444500 h 1651000"/>
            <a:gd name="connsiteX3" fmla="*/ 1195917 w 4582584"/>
            <a:gd name="connsiteY3" fmla="*/ 0 h 1651000"/>
            <a:gd name="connsiteX4" fmla="*/ 1735666 w 4582584"/>
            <a:gd name="connsiteY4" fmla="*/ 306916 h 1651000"/>
            <a:gd name="connsiteX5" fmla="*/ 2349501 w 4582584"/>
            <a:gd name="connsiteY5" fmla="*/ 973667 h 1651000"/>
            <a:gd name="connsiteX6" fmla="*/ 2878667 w 4582584"/>
            <a:gd name="connsiteY6" fmla="*/ 370416 h 1651000"/>
            <a:gd name="connsiteX7" fmla="*/ 3492501 w 4582584"/>
            <a:gd name="connsiteY7" fmla="*/ 1195916 h 1651000"/>
            <a:gd name="connsiteX8" fmla="*/ 3958167 w 4582584"/>
            <a:gd name="connsiteY8" fmla="*/ 1174750 h 1651000"/>
            <a:gd name="connsiteX9" fmla="*/ 4582584 w 4582584"/>
            <a:gd name="connsiteY9" fmla="*/ 1386416 h 1651000"/>
            <a:gd name="connsiteX0" fmla="*/ 0 w 4582584"/>
            <a:gd name="connsiteY0" fmla="*/ 1651000 h 1651000"/>
            <a:gd name="connsiteX1" fmla="*/ 709083 w 4582584"/>
            <a:gd name="connsiteY1" fmla="*/ 1153583 h 1651000"/>
            <a:gd name="connsiteX2" fmla="*/ 1206500 w 4582584"/>
            <a:gd name="connsiteY2" fmla="*/ 444500 h 1651000"/>
            <a:gd name="connsiteX3" fmla="*/ 1195917 w 4582584"/>
            <a:gd name="connsiteY3" fmla="*/ 0 h 1651000"/>
            <a:gd name="connsiteX4" fmla="*/ 1735666 w 4582584"/>
            <a:gd name="connsiteY4" fmla="*/ 306916 h 1651000"/>
            <a:gd name="connsiteX5" fmla="*/ 2349501 w 4582584"/>
            <a:gd name="connsiteY5" fmla="*/ 973667 h 1651000"/>
            <a:gd name="connsiteX6" fmla="*/ 2878667 w 4582584"/>
            <a:gd name="connsiteY6" fmla="*/ 370416 h 1651000"/>
            <a:gd name="connsiteX7" fmla="*/ 3492501 w 4582584"/>
            <a:gd name="connsiteY7" fmla="*/ 1195916 h 1651000"/>
            <a:gd name="connsiteX8" fmla="*/ 4064000 w 4582584"/>
            <a:gd name="connsiteY8" fmla="*/ 666750 h 1651000"/>
            <a:gd name="connsiteX9" fmla="*/ 4582584 w 4582584"/>
            <a:gd name="connsiteY9" fmla="*/ 1386416 h 1651000"/>
            <a:gd name="connsiteX0" fmla="*/ 0 w 4582584"/>
            <a:gd name="connsiteY0" fmla="*/ 1651000 h 1651000"/>
            <a:gd name="connsiteX1" fmla="*/ 709083 w 4582584"/>
            <a:gd name="connsiteY1" fmla="*/ 1153583 h 1651000"/>
            <a:gd name="connsiteX2" fmla="*/ 1195917 w 4582584"/>
            <a:gd name="connsiteY2" fmla="*/ 0 h 1651000"/>
            <a:gd name="connsiteX3" fmla="*/ 1735666 w 4582584"/>
            <a:gd name="connsiteY3" fmla="*/ 306916 h 1651000"/>
            <a:gd name="connsiteX4" fmla="*/ 2349501 w 4582584"/>
            <a:gd name="connsiteY4" fmla="*/ 973667 h 1651000"/>
            <a:gd name="connsiteX5" fmla="*/ 2878667 w 4582584"/>
            <a:gd name="connsiteY5" fmla="*/ 370416 h 1651000"/>
            <a:gd name="connsiteX6" fmla="*/ 3492501 w 4582584"/>
            <a:gd name="connsiteY6" fmla="*/ 1195916 h 1651000"/>
            <a:gd name="connsiteX7" fmla="*/ 4064000 w 4582584"/>
            <a:gd name="connsiteY7" fmla="*/ 666750 h 1651000"/>
            <a:gd name="connsiteX8" fmla="*/ 4582584 w 4582584"/>
            <a:gd name="connsiteY8" fmla="*/ 1386416 h 1651000"/>
            <a:gd name="connsiteX0" fmla="*/ 0 w 4582584"/>
            <a:gd name="connsiteY0" fmla="*/ 1344084 h 1344084"/>
            <a:gd name="connsiteX1" fmla="*/ 709083 w 4582584"/>
            <a:gd name="connsiteY1" fmla="*/ 846667 h 1344084"/>
            <a:gd name="connsiteX2" fmla="*/ 1132417 w 4582584"/>
            <a:gd name="connsiteY2" fmla="*/ 1111251 h 1344084"/>
            <a:gd name="connsiteX3" fmla="*/ 1735666 w 4582584"/>
            <a:gd name="connsiteY3" fmla="*/ 0 h 1344084"/>
            <a:gd name="connsiteX4" fmla="*/ 2349501 w 4582584"/>
            <a:gd name="connsiteY4" fmla="*/ 666751 h 1344084"/>
            <a:gd name="connsiteX5" fmla="*/ 2878667 w 4582584"/>
            <a:gd name="connsiteY5" fmla="*/ 63500 h 1344084"/>
            <a:gd name="connsiteX6" fmla="*/ 3492501 w 4582584"/>
            <a:gd name="connsiteY6" fmla="*/ 889000 h 1344084"/>
            <a:gd name="connsiteX7" fmla="*/ 4064000 w 4582584"/>
            <a:gd name="connsiteY7" fmla="*/ 359834 h 1344084"/>
            <a:gd name="connsiteX8" fmla="*/ 4582584 w 4582584"/>
            <a:gd name="connsiteY8" fmla="*/ 1079500 h 1344084"/>
            <a:gd name="connsiteX0" fmla="*/ 0 w 4582584"/>
            <a:gd name="connsiteY0" fmla="*/ 1280584 h 1280584"/>
            <a:gd name="connsiteX1" fmla="*/ 709083 w 4582584"/>
            <a:gd name="connsiteY1" fmla="*/ 783167 h 1280584"/>
            <a:gd name="connsiteX2" fmla="*/ 1132417 w 4582584"/>
            <a:gd name="connsiteY2" fmla="*/ 1047751 h 1280584"/>
            <a:gd name="connsiteX3" fmla="*/ 1799166 w 4582584"/>
            <a:gd name="connsiteY3" fmla="*/ 592667 h 1280584"/>
            <a:gd name="connsiteX4" fmla="*/ 2349501 w 4582584"/>
            <a:gd name="connsiteY4" fmla="*/ 603251 h 1280584"/>
            <a:gd name="connsiteX5" fmla="*/ 2878667 w 4582584"/>
            <a:gd name="connsiteY5" fmla="*/ 0 h 1280584"/>
            <a:gd name="connsiteX6" fmla="*/ 3492501 w 4582584"/>
            <a:gd name="connsiteY6" fmla="*/ 825500 h 1280584"/>
            <a:gd name="connsiteX7" fmla="*/ 4064000 w 4582584"/>
            <a:gd name="connsiteY7" fmla="*/ 296334 h 1280584"/>
            <a:gd name="connsiteX8" fmla="*/ 4582584 w 4582584"/>
            <a:gd name="connsiteY8" fmla="*/ 1016000 h 1280584"/>
            <a:gd name="connsiteX0" fmla="*/ 0 w 4582584"/>
            <a:gd name="connsiteY0" fmla="*/ 1735666 h 1735666"/>
            <a:gd name="connsiteX1" fmla="*/ 709083 w 4582584"/>
            <a:gd name="connsiteY1" fmla="*/ 1238249 h 1735666"/>
            <a:gd name="connsiteX2" fmla="*/ 1132417 w 4582584"/>
            <a:gd name="connsiteY2" fmla="*/ 1502833 h 1735666"/>
            <a:gd name="connsiteX3" fmla="*/ 1799166 w 4582584"/>
            <a:gd name="connsiteY3" fmla="*/ 1047749 h 1735666"/>
            <a:gd name="connsiteX4" fmla="*/ 2391834 w 4582584"/>
            <a:gd name="connsiteY4" fmla="*/ 0 h 1735666"/>
            <a:gd name="connsiteX5" fmla="*/ 2878667 w 4582584"/>
            <a:gd name="connsiteY5" fmla="*/ 455082 h 1735666"/>
            <a:gd name="connsiteX6" fmla="*/ 3492501 w 4582584"/>
            <a:gd name="connsiteY6" fmla="*/ 1280582 h 1735666"/>
            <a:gd name="connsiteX7" fmla="*/ 4064000 w 4582584"/>
            <a:gd name="connsiteY7" fmla="*/ 751416 h 1735666"/>
            <a:gd name="connsiteX8" fmla="*/ 4582584 w 4582584"/>
            <a:gd name="connsiteY8" fmla="*/ 1471082 h 1735666"/>
            <a:gd name="connsiteX0" fmla="*/ 0 w 4455584"/>
            <a:gd name="connsiteY0" fmla="*/ 317499 h 1502833"/>
            <a:gd name="connsiteX1" fmla="*/ 582083 w 4455584"/>
            <a:gd name="connsiteY1" fmla="*/ 1238249 h 1502833"/>
            <a:gd name="connsiteX2" fmla="*/ 1005417 w 4455584"/>
            <a:gd name="connsiteY2" fmla="*/ 1502833 h 1502833"/>
            <a:gd name="connsiteX3" fmla="*/ 1672166 w 4455584"/>
            <a:gd name="connsiteY3" fmla="*/ 1047749 h 1502833"/>
            <a:gd name="connsiteX4" fmla="*/ 2264834 w 4455584"/>
            <a:gd name="connsiteY4" fmla="*/ 0 h 1502833"/>
            <a:gd name="connsiteX5" fmla="*/ 2751667 w 4455584"/>
            <a:gd name="connsiteY5" fmla="*/ 455082 h 1502833"/>
            <a:gd name="connsiteX6" fmla="*/ 3365501 w 4455584"/>
            <a:gd name="connsiteY6" fmla="*/ 1280582 h 1502833"/>
            <a:gd name="connsiteX7" fmla="*/ 3937000 w 4455584"/>
            <a:gd name="connsiteY7" fmla="*/ 751416 h 1502833"/>
            <a:gd name="connsiteX8" fmla="*/ 4455584 w 4455584"/>
            <a:gd name="connsiteY8" fmla="*/ 1471082 h 1502833"/>
            <a:gd name="connsiteX0" fmla="*/ 0 w 4455584"/>
            <a:gd name="connsiteY0" fmla="*/ 317499 h 1502833"/>
            <a:gd name="connsiteX1" fmla="*/ 571500 w 4455584"/>
            <a:gd name="connsiteY1" fmla="*/ 740832 h 1502833"/>
            <a:gd name="connsiteX2" fmla="*/ 1005417 w 4455584"/>
            <a:gd name="connsiteY2" fmla="*/ 1502833 h 1502833"/>
            <a:gd name="connsiteX3" fmla="*/ 1672166 w 4455584"/>
            <a:gd name="connsiteY3" fmla="*/ 1047749 h 1502833"/>
            <a:gd name="connsiteX4" fmla="*/ 2264834 w 4455584"/>
            <a:gd name="connsiteY4" fmla="*/ 0 h 1502833"/>
            <a:gd name="connsiteX5" fmla="*/ 2751667 w 4455584"/>
            <a:gd name="connsiteY5" fmla="*/ 455082 h 1502833"/>
            <a:gd name="connsiteX6" fmla="*/ 3365501 w 4455584"/>
            <a:gd name="connsiteY6" fmla="*/ 1280582 h 1502833"/>
            <a:gd name="connsiteX7" fmla="*/ 3937000 w 4455584"/>
            <a:gd name="connsiteY7" fmla="*/ 751416 h 1502833"/>
            <a:gd name="connsiteX8" fmla="*/ 4455584 w 4455584"/>
            <a:gd name="connsiteY8" fmla="*/ 1471082 h 1502833"/>
            <a:gd name="connsiteX0" fmla="*/ 0 w 4455584"/>
            <a:gd name="connsiteY0" fmla="*/ 317499 h 1555749"/>
            <a:gd name="connsiteX1" fmla="*/ 571500 w 4455584"/>
            <a:gd name="connsiteY1" fmla="*/ 740832 h 1555749"/>
            <a:gd name="connsiteX2" fmla="*/ 1100667 w 4455584"/>
            <a:gd name="connsiteY2" fmla="*/ 1555749 h 1555749"/>
            <a:gd name="connsiteX3" fmla="*/ 1672166 w 4455584"/>
            <a:gd name="connsiteY3" fmla="*/ 1047749 h 1555749"/>
            <a:gd name="connsiteX4" fmla="*/ 2264834 w 4455584"/>
            <a:gd name="connsiteY4" fmla="*/ 0 h 1555749"/>
            <a:gd name="connsiteX5" fmla="*/ 2751667 w 4455584"/>
            <a:gd name="connsiteY5" fmla="*/ 455082 h 1555749"/>
            <a:gd name="connsiteX6" fmla="*/ 3365501 w 4455584"/>
            <a:gd name="connsiteY6" fmla="*/ 1280582 h 1555749"/>
            <a:gd name="connsiteX7" fmla="*/ 3937000 w 4455584"/>
            <a:gd name="connsiteY7" fmla="*/ 751416 h 1555749"/>
            <a:gd name="connsiteX8" fmla="*/ 4455584 w 4455584"/>
            <a:gd name="connsiteY8" fmla="*/ 1471082 h 1555749"/>
            <a:gd name="connsiteX0" fmla="*/ 0 w 4455584"/>
            <a:gd name="connsiteY0" fmla="*/ 486833 h 1725083"/>
            <a:gd name="connsiteX1" fmla="*/ 571500 w 4455584"/>
            <a:gd name="connsiteY1" fmla="*/ 910166 h 1725083"/>
            <a:gd name="connsiteX2" fmla="*/ 1100667 w 4455584"/>
            <a:gd name="connsiteY2" fmla="*/ 1725083 h 1725083"/>
            <a:gd name="connsiteX3" fmla="*/ 1682750 w 4455584"/>
            <a:gd name="connsiteY3" fmla="*/ 0 h 1725083"/>
            <a:gd name="connsiteX4" fmla="*/ 2264834 w 4455584"/>
            <a:gd name="connsiteY4" fmla="*/ 169334 h 1725083"/>
            <a:gd name="connsiteX5" fmla="*/ 2751667 w 4455584"/>
            <a:gd name="connsiteY5" fmla="*/ 624416 h 1725083"/>
            <a:gd name="connsiteX6" fmla="*/ 3365501 w 4455584"/>
            <a:gd name="connsiteY6" fmla="*/ 1449916 h 1725083"/>
            <a:gd name="connsiteX7" fmla="*/ 3937000 w 4455584"/>
            <a:gd name="connsiteY7" fmla="*/ 920750 h 1725083"/>
            <a:gd name="connsiteX8" fmla="*/ 4455584 w 4455584"/>
            <a:gd name="connsiteY8" fmla="*/ 1640416 h 1725083"/>
            <a:gd name="connsiteX0" fmla="*/ 0 w 4455584"/>
            <a:gd name="connsiteY0" fmla="*/ 486833 h 1725083"/>
            <a:gd name="connsiteX1" fmla="*/ 571500 w 4455584"/>
            <a:gd name="connsiteY1" fmla="*/ 910166 h 1725083"/>
            <a:gd name="connsiteX2" fmla="*/ 1100667 w 4455584"/>
            <a:gd name="connsiteY2" fmla="*/ 1725083 h 1725083"/>
            <a:gd name="connsiteX3" fmla="*/ 1682750 w 4455584"/>
            <a:gd name="connsiteY3" fmla="*/ 0 h 1725083"/>
            <a:gd name="connsiteX4" fmla="*/ 2254251 w 4455584"/>
            <a:gd name="connsiteY4" fmla="*/ 1217083 h 1725083"/>
            <a:gd name="connsiteX5" fmla="*/ 2751667 w 4455584"/>
            <a:gd name="connsiteY5" fmla="*/ 624416 h 1725083"/>
            <a:gd name="connsiteX6" fmla="*/ 3365501 w 4455584"/>
            <a:gd name="connsiteY6" fmla="*/ 1449916 h 1725083"/>
            <a:gd name="connsiteX7" fmla="*/ 3937000 w 4455584"/>
            <a:gd name="connsiteY7" fmla="*/ 920750 h 1725083"/>
            <a:gd name="connsiteX8" fmla="*/ 4455584 w 4455584"/>
            <a:gd name="connsiteY8" fmla="*/ 1640416 h 1725083"/>
            <a:gd name="connsiteX0" fmla="*/ 0 w 4455584"/>
            <a:gd name="connsiteY0" fmla="*/ 486833 h 1725083"/>
            <a:gd name="connsiteX1" fmla="*/ 571500 w 4455584"/>
            <a:gd name="connsiteY1" fmla="*/ 910166 h 1725083"/>
            <a:gd name="connsiteX2" fmla="*/ 1100667 w 4455584"/>
            <a:gd name="connsiteY2" fmla="*/ 1725083 h 1725083"/>
            <a:gd name="connsiteX3" fmla="*/ 1682750 w 4455584"/>
            <a:gd name="connsiteY3" fmla="*/ 0 h 1725083"/>
            <a:gd name="connsiteX4" fmla="*/ 2254251 w 4455584"/>
            <a:gd name="connsiteY4" fmla="*/ 1217083 h 1725083"/>
            <a:gd name="connsiteX5" fmla="*/ 2815167 w 4455584"/>
            <a:gd name="connsiteY5" fmla="*/ 222249 h 1725083"/>
            <a:gd name="connsiteX6" fmla="*/ 3365501 w 4455584"/>
            <a:gd name="connsiteY6" fmla="*/ 1449916 h 1725083"/>
            <a:gd name="connsiteX7" fmla="*/ 3937000 w 4455584"/>
            <a:gd name="connsiteY7" fmla="*/ 920750 h 1725083"/>
            <a:gd name="connsiteX8" fmla="*/ 4455584 w 4455584"/>
            <a:gd name="connsiteY8" fmla="*/ 1640416 h 1725083"/>
            <a:gd name="connsiteX0" fmla="*/ 0 w 4455584"/>
            <a:gd name="connsiteY0" fmla="*/ 486833 h 1725083"/>
            <a:gd name="connsiteX1" fmla="*/ 571500 w 4455584"/>
            <a:gd name="connsiteY1" fmla="*/ 910166 h 1725083"/>
            <a:gd name="connsiteX2" fmla="*/ 1100667 w 4455584"/>
            <a:gd name="connsiteY2" fmla="*/ 1725083 h 1725083"/>
            <a:gd name="connsiteX3" fmla="*/ 1682750 w 4455584"/>
            <a:gd name="connsiteY3" fmla="*/ 0 h 1725083"/>
            <a:gd name="connsiteX4" fmla="*/ 2254251 w 4455584"/>
            <a:gd name="connsiteY4" fmla="*/ 1217083 h 1725083"/>
            <a:gd name="connsiteX5" fmla="*/ 2815167 w 4455584"/>
            <a:gd name="connsiteY5" fmla="*/ 222249 h 1725083"/>
            <a:gd name="connsiteX6" fmla="*/ 3365501 w 4455584"/>
            <a:gd name="connsiteY6" fmla="*/ 1449916 h 1725083"/>
            <a:gd name="connsiteX7" fmla="*/ 3376083 w 4455584"/>
            <a:gd name="connsiteY7" fmla="*/ 1418166 h 1725083"/>
            <a:gd name="connsiteX8" fmla="*/ 3937000 w 4455584"/>
            <a:gd name="connsiteY8" fmla="*/ 920750 h 1725083"/>
            <a:gd name="connsiteX9" fmla="*/ 4455584 w 4455584"/>
            <a:gd name="connsiteY9" fmla="*/ 1640416 h 1725083"/>
            <a:gd name="connsiteX0" fmla="*/ 0 w 4455584"/>
            <a:gd name="connsiteY0" fmla="*/ 486833 h 1725083"/>
            <a:gd name="connsiteX1" fmla="*/ 571500 w 4455584"/>
            <a:gd name="connsiteY1" fmla="*/ 910166 h 1725083"/>
            <a:gd name="connsiteX2" fmla="*/ 1100667 w 4455584"/>
            <a:gd name="connsiteY2" fmla="*/ 1725083 h 1725083"/>
            <a:gd name="connsiteX3" fmla="*/ 1682750 w 4455584"/>
            <a:gd name="connsiteY3" fmla="*/ 0 h 1725083"/>
            <a:gd name="connsiteX4" fmla="*/ 2254251 w 4455584"/>
            <a:gd name="connsiteY4" fmla="*/ 1217083 h 1725083"/>
            <a:gd name="connsiteX5" fmla="*/ 2815167 w 4455584"/>
            <a:gd name="connsiteY5" fmla="*/ 222249 h 1725083"/>
            <a:gd name="connsiteX6" fmla="*/ 3365501 w 4455584"/>
            <a:gd name="connsiteY6" fmla="*/ 1449916 h 1725083"/>
            <a:gd name="connsiteX7" fmla="*/ 3376083 w 4455584"/>
            <a:gd name="connsiteY7" fmla="*/ 1418166 h 1725083"/>
            <a:gd name="connsiteX8" fmla="*/ 3937000 w 4455584"/>
            <a:gd name="connsiteY8" fmla="*/ 635000 h 1725083"/>
            <a:gd name="connsiteX9" fmla="*/ 4455584 w 4455584"/>
            <a:gd name="connsiteY9" fmla="*/ 1640416 h 1725083"/>
            <a:gd name="connsiteX0" fmla="*/ 0 w 4540251"/>
            <a:gd name="connsiteY0" fmla="*/ 486833 h 2053165"/>
            <a:gd name="connsiteX1" fmla="*/ 571500 w 4540251"/>
            <a:gd name="connsiteY1" fmla="*/ 910166 h 2053165"/>
            <a:gd name="connsiteX2" fmla="*/ 1100667 w 4540251"/>
            <a:gd name="connsiteY2" fmla="*/ 1725083 h 2053165"/>
            <a:gd name="connsiteX3" fmla="*/ 1682750 w 4540251"/>
            <a:gd name="connsiteY3" fmla="*/ 0 h 2053165"/>
            <a:gd name="connsiteX4" fmla="*/ 2254251 w 4540251"/>
            <a:gd name="connsiteY4" fmla="*/ 1217083 h 2053165"/>
            <a:gd name="connsiteX5" fmla="*/ 2815167 w 4540251"/>
            <a:gd name="connsiteY5" fmla="*/ 222249 h 2053165"/>
            <a:gd name="connsiteX6" fmla="*/ 3365501 w 4540251"/>
            <a:gd name="connsiteY6" fmla="*/ 1449916 h 2053165"/>
            <a:gd name="connsiteX7" fmla="*/ 3376083 w 4540251"/>
            <a:gd name="connsiteY7" fmla="*/ 1418166 h 2053165"/>
            <a:gd name="connsiteX8" fmla="*/ 3937000 w 4540251"/>
            <a:gd name="connsiteY8" fmla="*/ 635000 h 2053165"/>
            <a:gd name="connsiteX9" fmla="*/ 4540251 w 4540251"/>
            <a:gd name="connsiteY9" fmla="*/ 2053165 h 2053165"/>
            <a:gd name="connsiteX0" fmla="*/ 0 w 4540251"/>
            <a:gd name="connsiteY0" fmla="*/ 486833 h 2053165"/>
            <a:gd name="connsiteX1" fmla="*/ 613833 w 4540251"/>
            <a:gd name="connsiteY1" fmla="*/ 275166 h 2053165"/>
            <a:gd name="connsiteX2" fmla="*/ 1100667 w 4540251"/>
            <a:gd name="connsiteY2" fmla="*/ 1725083 h 2053165"/>
            <a:gd name="connsiteX3" fmla="*/ 1682750 w 4540251"/>
            <a:gd name="connsiteY3" fmla="*/ 0 h 2053165"/>
            <a:gd name="connsiteX4" fmla="*/ 2254251 w 4540251"/>
            <a:gd name="connsiteY4" fmla="*/ 1217083 h 2053165"/>
            <a:gd name="connsiteX5" fmla="*/ 2815167 w 4540251"/>
            <a:gd name="connsiteY5" fmla="*/ 222249 h 2053165"/>
            <a:gd name="connsiteX6" fmla="*/ 3365501 w 4540251"/>
            <a:gd name="connsiteY6" fmla="*/ 1449916 h 2053165"/>
            <a:gd name="connsiteX7" fmla="*/ 3376083 w 4540251"/>
            <a:gd name="connsiteY7" fmla="*/ 1418166 h 2053165"/>
            <a:gd name="connsiteX8" fmla="*/ 3937000 w 4540251"/>
            <a:gd name="connsiteY8" fmla="*/ 635000 h 2053165"/>
            <a:gd name="connsiteX9" fmla="*/ 4540251 w 4540251"/>
            <a:gd name="connsiteY9" fmla="*/ 2053165 h 2053165"/>
            <a:gd name="connsiteX0" fmla="*/ 0 w 4540251"/>
            <a:gd name="connsiteY0" fmla="*/ 486833 h 2053165"/>
            <a:gd name="connsiteX1" fmla="*/ 603250 w 4540251"/>
            <a:gd name="connsiteY1" fmla="*/ 941916 h 2053165"/>
            <a:gd name="connsiteX2" fmla="*/ 1100667 w 4540251"/>
            <a:gd name="connsiteY2" fmla="*/ 1725083 h 2053165"/>
            <a:gd name="connsiteX3" fmla="*/ 1682750 w 4540251"/>
            <a:gd name="connsiteY3" fmla="*/ 0 h 2053165"/>
            <a:gd name="connsiteX4" fmla="*/ 2254251 w 4540251"/>
            <a:gd name="connsiteY4" fmla="*/ 1217083 h 2053165"/>
            <a:gd name="connsiteX5" fmla="*/ 2815167 w 4540251"/>
            <a:gd name="connsiteY5" fmla="*/ 222249 h 2053165"/>
            <a:gd name="connsiteX6" fmla="*/ 3365501 w 4540251"/>
            <a:gd name="connsiteY6" fmla="*/ 1449916 h 2053165"/>
            <a:gd name="connsiteX7" fmla="*/ 3376083 w 4540251"/>
            <a:gd name="connsiteY7" fmla="*/ 1418166 h 2053165"/>
            <a:gd name="connsiteX8" fmla="*/ 3937000 w 4540251"/>
            <a:gd name="connsiteY8" fmla="*/ 635000 h 2053165"/>
            <a:gd name="connsiteX9" fmla="*/ 4540251 w 4540251"/>
            <a:gd name="connsiteY9" fmla="*/ 2053165 h 2053165"/>
            <a:gd name="connsiteX0" fmla="*/ 0 w 4445001"/>
            <a:gd name="connsiteY0" fmla="*/ 1407582 h 2053165"/>
            <a:gd name="connsiteX1" fmla="*/ 508000 w 4445001"/>
            <a:gd name="connsiteY1" fmla="*/ 941916 h 2053165"/>
            <a:gd name="connsiteX2" fmla="*/ 1005417 w 4445001"/>
            <a:gd name="connsiteY2" fmla="*/ 1725083 h 2053165"/>
            <a:gd name="connsiteX3" fmla="*/ 1587500 w 4445001"/>
            <a:gd name="connsiteY3" fmla="*/ 0 h 2053165"/>
            <a:gd name="connsiteX4" fmla="*/ 2159001 w 4445001"/>
            <a:gd name="connsiteY4" fmla="*/ 1217083 h 2053165"/>
            <a:gd name="connsiteX5" fmla="*/ 2719917 w 4445001"/>
            <a:gd name="connsiteY5" fmla="*/ 222249 h 2053165"/>
            <a:gd name="connsiteX6" fmla="*/ 3270251 w 4445001"/>
            <a:gd name="connsiteY6" fmla="*/ 1449916 h 2053165"/>
            <a:gd name="connsiteX7" fmla="*/ 3280833 w 4445001"/>
            <a:gd name="connsiteY7" fmla="*/ 1418166 h 2053165"/>
            <a:gd name="connsiteX8" fmla="*/ 3841750 w 4445001"/>
            <a:gd name="connsiteY8" fmla="*/ 635000 h 2053165"/>
            <a:gd name="connsiteX9" fmla="*/ 4445001 w 4445001"/>
            <a:gd name="connsiteY9" fmla="*/ 2053165 h 2053165"/>
            <a:gd name="connsiteX0" fmla="*/ 0 w 4445001"/>
            <a:gd name="connsiteY0" fmla="*/ 1407582 h 2053165"/>
            <a:gd name="connsiteX1" fmla="*/ 613833 w 4445001"/>
            <a:gd name="connsiteY1" fmla="*/ 148166 h 2053165"/>
            <a:gd name="connsiteX2" fmla="*/ 1005417 w 4445001"/>
            <a:gd name="connsiteY2" fmla="*/ 1725083 h 2053165"/>
            <a:gd name="connsiteX3" fmla="*/ 1587500 w 4445001"/>
            <a:gd name="connsiteY3" fmla="*/ 0 h 2053165"/>
            <a:gd name="connsiteX4" fmla="*/ 2159001 w 4445001"/>
            <a:gd name="connsiteY4" fmla="*/ 1217083 h 2053165"/>
            <a:gd name="connsiteX5" fmla="*/ 2719917 w 4445001"/>
            <a:gd name="connsiteY5" fmla="*/ 222249 h 2053165"/>
            <a:gd name="connsiteX6" fmla="*/ 3270251 w 4445001"/>
            <a:gd name="connsiteY6" fmla="*/ 1449916 h 2053165"/>
            <a:gd name="connsiteX7" fmla="*/ 3280833 w 4445001"/>
            <a:gd name="connsiteY7" fmla="*/ 1418166 h 2053165"/>
            <a:gd name="connsiteX8" fmla="*/ 3841750 w 4445001"/>
            <a:gd name="connsiteY8" fmla="*/ 635000 h 2053165"/>
            <a:gd name="connsiteX9" fmla="*/ 4445001 w 4445001"/>
            <a:gd name="connsiteY9" fmla="*/ 2053165 h 2053165"/>
            <a:gd name="connsiteX0" fmla="*/ 0 w 4445001"/>
            <a:gd name="connsiteY0" fmla="*/ 1407582 h 2053165"/>
            <a:gd name="connsiteX1" fmla="*/ 613833 w 4445001"/>
            <a:gd name="connsiteY1" fmla="*/ 148166 h 2053165"/>
            <a:gd name="connsiteX2" fmla="*/ 1132417 w 4445001"/>
            <a:gd name="connsiteY2" fmla="*/ 814916 h 2053165"/>
            <a:gd name="connsiteX3" fmla="*/ 1587500 w 4445001"/>
            <a:gd name="connsiteY3" fmla="*/ 0 h 2053165"/>
            <a:gd name="connsiteX4" fmla="*/ 2159001 w 4445001"/>
            <a:gd name="connsiteY4" fmla="*/ 1217083 h 2053165"/>
            <a:gd name="connsiteX5" fmla="*/ 2719917 w 4445001"/>
            <a:gd name="connsiteY5" fmla="*/ 222249 h 2053165"/>
            <a:gd name="connsiteX6" fmla="*/ 3270251 w 4445001"/>
            <a:gd name="connsiteY6" fmla="*/ 1449916 h 2053165"/>
            <a:gd name="connsiteX7" fmla="*/ 3280833 w 4445001"/>
            <a:gd name="connsiteY7" fmla="*/ 1418166 h 2053165"/>
            <a:gd name="connsiteX8" fmla="*/ 3841750 w 4445001"/>
            <a:gd name="connsiteY8" fmla="*/ 635000 h 2053165"/>
            <a:gd name="connsiteX9" fmla="*/ 4445001 w 4445001"/>
            <a:gd name="connsiteY9" fmla="*/ 2053165 h 2053165"/>
            <a:gd name="connsiteX0" fmla="*/ 0 w 4603751"/>
            <a:gd name="connsiteY0" fmla="*/ 730249 h 2053165"/>
            <a:gd name="connsiteX1" fmla="*/ 772583 w 4603751"/>
            <a:gd name="connsiteY1" fmla="*/ 148166 h 2053165"/>
            <a:gd name="connsiteX2" fmla="*/ 1291167 w 4603751"/>
            <a:gd name="connsiteY2" fmla="*/ 814916 h 2053165"/>
            <a:gd name="connsiteX3" fmla="*/ 1746250 w 4603751"/>
            <a:gd name="connsiteY3" fmla="*/ 0 h 2053165"/>
            <a:gd name="connsiteX4" fmla="*/ 2317751 w 4603751"/>
            <a:gd name="connsiteY4" fmla="*/ 1217083 h 2053165"/>
            <a:gd name="connsiteX5" fmla="*/ 2878667 w 4603751"/>
            <a:gd name="connsiteY5" fmla="*/ 222249 h 2053165"/>
            <a:gd name="connsiteX6" fmla="*/ 3429001 w 4603751"/>
            <a:gd name="connsiteY6" fmla="*/ 1449916 h 2053165"/>
            <a:gd name="connsiteX7" fmla="*/ 3439583 w 4603751"/>
            <a:gd name="connsiteY7" fmla="*/ 1418166 h 2053165"/>
            <a:gd name="connsiteX8" fmla="*/ 4000500 w 4603751"/>
            <a:gd name="connsiteY8" fmla="*/ 635000 h 2053165"/>
            <a:gd name="connsiteX9" fmla="*/ 4603751 w 4603751"/>
            <a:gd name="connsiteY9" fmla="*/ 2053165 h 2053165"/>
            <a:gd name="connsiteX0" fmla="*/ 0 w 4603751"/>
            <a:gd name="connsiteY0" fmla="*/ 730249 h 2053165"/>
            <a:gd name="connsiteX1" fmla="*/ 592667 w 4603751"/>
            <a:gd name="connsiteY1" fmla="*/ 2021415 h 2053165"/>
            <a:gd name="connsiteX2" fmla="*/ 1291167 w 4603751"/>
            <a:gd name="connsiteY2" fmla="*/ 814916 h 2053165"/>
            <a:gd name="connsiteX3" fmla="*/ 1746250 w 4603751"/>
            <a:gd name="connsiteY3" fmla="*/ 0 h 2053165"/>
            <a:gd name="connsiteX4" fmla="*/ 2317751 w 4603751"/>
            <a:gd name="connsiteY4" fmla="*/ 1217083 h 2053165"/>
            <a:gd name="connsiteX5" fmla="*/ 2878667 w 4603751"/>
            <a:gd name="connsiteY5" fmla="*/ 222249 h 2053165"/>
            <a:gd name="connsiteX6" fmla="*/ 3429001 w 4603751"/>
            <a:gd name="connsiteY6" fmla="*/ 1449916 h 2053165"/>
            <a:gd name="connsiteX7" fmla="*/ 3439583 w 4603751"/>
            <a:gd name="connsiteY7" fmla="*/ 1418166 h 2053165"/>
            <a:gd name="connsiteX8" fmla="*/ 4000500 w 4603751"/>
            <a:gd name="connsiteY8" fmla="*/ 635000 h 2053165"/>
            <a:gd name="connsiteX9" fmla="*/ 4603751 w 4603751"/>
            <a:gd name="connsiteY9" fmla="*/ 2053165 h 2053165"/>
            <a:gd name="connsiteX0" fmla="*/ 0 w 4603751"/>
            <a:gd name="connsiteY0" fmla="*/ 730249 h 2053165"/>
            <a:gd name="connsiteX1" fmla="*/ 592667 w 4603751"/>
            <a:gd name="connsiteY1" fmla="*/ 2021415 h 2053165"/>
            <a:gd name="connsiteX2" fmla="*/ 1217084 w 4603751"/>
            <a:gd name="connsiteY2" fmla="*/ 1650998 h 2053165"/>
            <a:gd name="connsiteX3" fmla="*/ 1746250 w 4603751"/>
            <a:gd name="connsiteY3" fmla="*/ 0 h 2053165"/>
            <a:gd name="connsiteX4" fmla="*/ 2317751 w 4603751"/>
            <a:gd name="connsiteY4" fmla="*/ 1217083 h 2053165"/>
            <a:gd name="connsiteX5" fmla="*/ 2878667 w 4603751"/>
            <a:gd name="connsiteY5" fmla="*/ 222249 h 2053165"/>
            <a:gd name="connsiteX6" fmla="*/ 3429001 w 4603751"/>
            <a:gd name="connsiteY6" fmla="*/ 1449916 h 2053165"/>
            <a:gd name="connsiteX7" fmla="*/ 3439583 w 4603751"/>
            <a:gd name="connsiteY7" fmla="*/ 1418166 h 2053165"/>
            <a:gd name="connsiteX8" fmla="*/ 4000500 w 4603751"/>
            <a:gd name="connsiteY8" fmla="*/ 635000 h 2053165"/>
            <a:gd name="connsiteX9" fmla="*/ 4603751 w 4603751"/>
            <a:gd name="connsiteY9" fmla="*/ 2053165 h 2053165"/>
            <a:gd name="connsiteX0" fmla="*/ 0 w 4603751"/>
            <a:gd name="connsiteY0" fmla="*/ 508000 h 1830916"/>
            <a:gd name="connsiteX1" fmla="*/ 592667 w 4603751"/>
            <a:gd name="connsiteY1" fmla="*/ 1799166 h 1830916"/>
            <a:gd name="connsiteX2" fmla="*/ 1217084 w 4603751"/>
            <a:gd name="connsiteY2" fmla="*/ 1428749 h 1830916"/>
            <a:gd name="connsiteX3" fmla="*/ 1735666 w 4603751"/>
            <a:gd name="connsiteY3" fmla="*/ 846666 h 1830916"/>
            <a:gd name="connsiteX4" fmla="*/ 2317751 w 4603751"/>
            <a:gd name="connsiteY4" fmla="*/ 994834 h 1830916"/>
            <a:gd name="connsiteX5" fmla="*/ 2878667 w 4603751"/>
            <a:gd name="connsiteY5" fmla="*/ 0 h 1830916"/>
            <a:gd name="connsiteX6" fmla="*/ 3429001 w 4603751"/>
            <a:gd name="connsiteY6" fmla="*/ 1227667 h 1830916"/>
            <a:gd name="connsiteX7" fmla="*/ 3439583 w 4603751"/>
            <a:gd name="connsiteY7" fmla="*/ 1195917 h 1830916"/>
            <a:gd name="connsiteX8" fmla="*/ 4000500 w 4603751"/>
            <a:gd name="connsiteY8" fmla="*/ 412751 h 1830916"/>
            <a:gd name="connsiteX9" fmla="*/ 4603751 w 4603751"/>
            <a:gd name="connsiteY9" fmla="*/ 1830916 h 1830916"/>
            <a:gd name="connsiteX0" fmla="*/ 0 w 4603751"/>
            <a:gd name="connsiteY0" fmla="*/ 719666 h 2042582"/>
            <a:gd name="connsiteX1" fmla="*/ 592667 w 4603751"/>
            <a:gd name="connsiteY1" fmla="*/ 2010832 h 2042582"/>
            <a:gd name="connsiteX2" fmla="*/ 1217084 w 4603751"/>
            <a:gd name="connsiteY2" fmla="*/ 1640415 h 2042582"/>
            <a:gd name="connsiteX3" fmla="*/ 1735666 w 4603751"/>
            <a:gd name="connsiteY3" fmla="*/ 1058332 h 2042582"/>
            <a:gd name="connsiteX4" fmla="*/ 2381251 w 4603751"/>
            <a:gd name="connsiteY4" fmla="*/ 0 h 2042582"/>
            <a:gd name="connsiteX5" fmla="*/ 2878667 w 4603751"/>
            <a:gd name="connsiteY5" fmla="*/ 211666 h 2042582"/>
            <a:gd name="connsiteX6" fmla="*/ 3429001 w 4603751"/>
            <a:gd name="connsiteY6" fmla="*/ 1439333 h 2042582"/>
            <a:gd name="connsiteX7" fmla="*/ 3439583 w 4603751"/>
            <a:gd name="connsiteY7" fmla="*/ 1407583 h 2042582"/>
            <a:gd name="connsiteX8" fmla="*/ 4000500 w 4603751"/>
            <a:gd name="connsiteY8" fmla="*/ 624417 h 2042582"/>
            <a:gd name="connsiteX9" fmla="*/ 4603751 w 4603751"/>
            <a:gd name="connsiteY9" fmla="*/ 2042582 h 2042582"/>
            <a:gd name="connsiteX0" fmla="*/ 0 w 4603751"/>
            <a:gd name="connsiteY0" fmla="*/ 719666 h 2074331"/>
            <a:gd name="connsiteX1" fmla="*/ 592667 w 4603751"/>
            <a:gd name="connsiteY1" fmla="*/ 2010832 h 2074331"/>
            <a:gd name="connsiteX2" fmla="*/ 1217084 w 4603751"/>
            <a:gd name="connsiteY2" fmla="*/ 1640415 h 2074331"/>
            <a:gd name="connsiteX3" fmla="*/ 1735666 w 4603751"/>
            <a:gd name="connsiteY3" fmla="*/ 1058332 h 2074331"/>
            <a:gd name="connsiteX4" fmla="*/ 2381251 w 4603751"/>
            <a:gd name="connsiteY4" fmla="*/ 0 h 2074331"/>
            <a:gd name="connsiteX5" fmla="*/ 2963334 w 4603751"/>
            <a:gd name="connsiteY5" fmla="*/ 2074331 h 2074331"/>
            <a:gd name="connsiteX6" fmla="*/ 3429001 w 4603751"/>
            <a:gd name="connsiteY6" fmla="*/ 1439333 h 2074331"/>
            <a:gd name="connsiteX7" fmla="*/ 3439583 w 4603751"/>
            <a:gd name="connsiteY7" fmla="*/ 1407583 h 2074331"/>
            <a:gd name="connsiteX8" fmla="*/ 4000500 w 4603751"/>
            <a:gd name="connsiteY8" fmla="*/ 624417 h 2074331"/>
            <a:gd name="connsiteX9" fmla="*/ 4603751 w 4603751"/>
            <a:gd name="connsiteY9" fmla="*/ 2042582 h 2074331"/>
            <a:gd name="connsiteX0" fmla="*/ 0 w 4603751"/>
            <a:gd name="connsiteY0" fmla="*/ 719666 h 2074331"/>
            <a:gd name="connsiteX1" fmla="*/ 592667 w 4603751"/>
            <a:gd name="connsiteY1" fmla="*/ 2010832 h 2074331"/>
            <a:gd name="connsiteX2" fmla="*/ 1164167 w 4603751"/>
            <a:gd name="connsiteY2" fmla="*/ 391581 h 2074331"/>
            <a:gd name="connsiteX3" fmla="*/ 1735666 w 4603751"/>
            <a:gd name="connsiteY3" fmla="*/ 1058332 h 2074331"/>
            <a:gd name="connsiteX4" fmla="*/ 2381251 w 4603751"/>
            <a:gd name="connsiteY4" fmla="*/ 0 h 2074331"/>
            <a:gd name="connsiteX5" fmla="*/ 2963334 w 4603751"/>
            <a:gd name="connsiteY5" fmla="*/ 2074331 h 2074331"/>
            <a:gd name="connsiteX6" fmla="*/ 3429001 w 4603751"/>
            <a:gd name="connsiteY6" fmla="*/ 1439333 h 2074331"/>
            <a:gd name="connsiteX7" fmla="*/ 3439583 w 4603751"/>
            <a:gd name="connsiteY7" fmla="*/ 1407583 h 2074331"/>
            <a:gd name="connsiteX8" fmla="*/ 4000500 w 4603751"/>
            <a:gd name="connsiteY8" fmla="*/ 624417 h 2074331"/>
            <a:gd name="connsiteX9" fmla="*/ 4603751 w 4603751"/>
            <a:gd name="connsiteY9" fmla="*/ 2042582 h 2074331"/>
            <a:gd name="connsiteX0" fmla="*/ 0 w 4561418"/>
            <a:gd name="connsiteY0" fmla="*/ 455082 h 2074331"/>
            <a:gd name="connsiteX1" fmla="*/ 550334 w 4561418"/>
            <a:gd name="connsiteY1" fmla="*/ 2010832 h 2074331"/>
            <a:gd name="connsiteX2" fmla="*/ 1121834 w 4561418"/>
            <a:gd name="connsiteY2" fmla="*/ 391581 h 2074331"/>
            <a:gd name="connsiteX3" fmla="*/ 1693333 w 4561418"/>
            <a:gd name="connsiteY3" fmla="*/ 1058332 h 2074331"/>
            <a:gd name="connsiteX4" fmla="*/ 2338918 w 4561418"/>
            <a:gd name="connsiteY4" fmla="*/ 0 h 2074331"/>
            <a:gd name="connsiteX5" fmla="*/ 2921001 w 4561418"/>
            <a:gd name="connsiteY5" fmla="*/ 2074331 h 2074331"/>
            <a:gd name="connsiteX6" fmla="*/ 3386668 w 4561418"/>
            <a:gd name="connsiteY6" fmla="*/ 1439333 h 2074331"/>
            <a:gd name="connsiteX7" fmla="*/ 3397250 w 4561418"/>
            <a:gd name="connsiteY7" fmla="*/ 1407583 h 2074331"/>
            <a:gd name="connsiteX8" fmla="*/ 3958167 w 4561418"/>
            <a:gd name="connsiteY8" fmla="*/ 624417 h 2074331"/>
            <a:gd name="connsiteX9" fmla="*/ 4561418 w 4561418"/>
            <a:gd name="connsiteY9" fmla="*/ 2042582 h 2074331"/>
            <a:gd name="connsiteX0" fmla="*/ 0 w 4561418"/>
            <a:gd name="connsiteY0" fmla="*/ 455082 h 2074331"/>
            <a:gd name="connsiteX1" fmla="*/ 550334 w 4561418"/>
            <a:gd name="connsiteY1" fmla="*/ 973666 h 2074331"/>
            <a:gd name="connsiteX2" fmla="*/ 1121834 w 4561418"/>
            <a:gd name="connsiteY2" fmla="*/ 391581 h 2074331"/>
            <a:gd name="connsiteX3" fmla="*/ 1693333 w 4561418"/>
            <a:gd name="connsiteY3" fmla="*/ 1058332 h 2074331"/>
            <a:gd name="connsiteX4" fmla="*/ 2338918 w 4561418"/>
            <a:gd name="connsiteY4" fmla="*/ 0 h 2074331"/>
            <a:gd name="connsiteX5" fmla="*/ 2921001 w 4561418"/>
            <a:gd name="connsiteY5" fmla="*/ 2074331 h 2074331"/>
            <a:gd name="connsiteX6" fmla="*/ 3386668 w 4561418"/>
            <a:gd name="connsiteY6" fmla="*/ 1439333 h 2074331"/>
            <a:gd name="connsiteX7" fmla="*/ 3397250 w 4561418"/>
            <a:gd name="connsiteY7" fmla="*/ 1407583 h 2074331"/>
            <a:gd name="connsiteX8" fmla="*/ 3958167 w 4561418"/>
            <a:gd name="connsiteY8" fmla="*/ 624417 h 2074331"/>
            <a:gd name="connsiteX9" fmla="*/ 4561418 w 4561418"/>
            <a:gd name="connsiteY9" fmla="*/ 2042582 h 2074331"/>
            <a:gd name="connsiteX0" fmla="*/ 0 w 4561418"/>
            <a:gd name="connsiteY0" fmla="*/ 455082 h 2074331"/>
            <a:gd name="connsiteX1" fmla="*/ 550334 w 4561418"/>
            <a:gd name="connsiteY1" fmla="*/ 973666 h 2074331"/>
            <a:gd name="connsiteX2" fmla="*/ 1206501 w 4561418"/>
            <a:gd name="connsiteY2" fmla="*/ 1608663 h 2074331"/>
            <a:gd name="connsiteX3" fmla="*/ 1693333 w 4561418"/>
            <a:gd name="connsiteY3" fmla="*/ 1058332 h 2074331"/>
            <a:gd name="connsiteX4" fmla="*/ 2338918 w 4561418"/>
            <a:gd name="connsiteY4" fmla="*/ 0 h 2074331"/>
            <a:gd name="connsiteX5" fmla="*/ 2921001 w 4561418"/>
            <a:gd name="connsiteY5" fmla="*/ 2074331 h 2074331"/>
            <a:gd name="connsiteX6" fmla="*/ 3386668 w 4561418"/>
            <a:gd name="connsiteY6" fmla="*/ 1439333 h 2074331"/>
            <a:gd name="connsiteX7" fmla="*/ 3397250 w 4561418"/>
            <a:gd name="connsiteY7" fmla="*/ 1407583 h 2074331"/>
            <a:gd name="connsiteX8" fmla="*/ 3958167 w 4561418"/>
            <a:gd name="connsiteY8" fmla="*/ 624417 h 2074331"/>
            <a:gd name="connsiteX9" fmla="*/ 4561418 w 4561418"/>
            <a:gd name="connsiteY9" fmla="*/ 2042582 h 2074331"/>
            <a:gd name="connsiteX0" fmla="*/ 0 w 4561418"/>
            <a:gd name="connsiteY0" fmla="*/ 455084 h 2074333"/>
            <a:gd name="connsiteX1" fmla="*/ 550334 w 4561418"/>
            <a:gd name="connsiteY1" fmla="*/ 973668 h 2074333"/>
            <a:gd name="connsiteX2" fmla="*/ 1206501 w 4561418"/>
            <a:gd name="connsiteY2" fmla="*/ 1608665 h 2074333"/>
            <a:gd name="connsiteX3" fmla="*/ 1725083 w 4561418"/>
            <a:gd name="connsiteY3" fmla="*/ 0 h 2074333"/>
            <a:gd name="connsiteX4" fmla="*/ 2338918 w 4561418"/>
            <a:gd name="connsiteY4" fmla="*/ 2 h 2074333"/>
            <a:gd name="connsiteX5" fmla="*/ 2921001 w 4561418"/>
            <a:gd name="connsiteY5" fmla="*/ 2074333 h 2074333"/>
            <a:gd name="connsiteX6" fmla="*/ 3386668 w 4561418"/>
            <a:gd name="connsiteY6" fmla="*/ 1439335 h 2074333"/>
            <a:gd name="connsiteX7" fmla="*/ 3397250 w 4561418"/>
            <a:gd name="connsiteY7" fmla="*/ 1407585 h 2074333"/>
            <a:gd name="connsiteX8" fmla="*/ 3958167 w 4561418"/>
            <a:gd name="connsiteY8" fmla="*/ 624419 h 2074333"/>
            <a:gd name="connsiteX9" fmla="*/ 4561418 w 4561418"/>
            <a:gd name="connsiteY9" fmla="*/ 2042584 h 2074333"/>
            <a:gd name="connsiteX0" fmla="*/ 0 w 4561418"/>
            <a:gd name="connsiteY0" fmla="*/ 455084 h 2074333"/>
            <a:gd name="connsiteX1" fmla="*/ 550334 w 4561418"/>
            <a:gd name="connsiteY1" fmla="*/ 973668 h 2074333"/>
            <a:gd name="connsiteX2" fmla="*/ 1206501 w 4561418"/>
            <a:gd name="connsiteY2" fmla="*/ 1608665 h 2074333"/>
            <a:gd name="connsiteX3" fmla="*/ 1725083 w 4561418"/>
            <a:gd name="connsiteY3" fmla="*/ 0 h 2074333"/>
            <a:gd name="connsiteX4" fmla="*/ 2233085 w 4561418"/>
            <a:gd name="connsiteY4" fmla="*/ 1164168 h 2074333"/>
            <a:gd name="connsiteX5" fmla="*/ 2921001 w 4561418"/>
            <a:gd name="connsiteY5" fmla="*/ 2074333 h 2074333"/>
            <a:gd name="connsiteX6" fmla="*/ 3386668 w 4561418"/>
            <a:gd name="connsiteY6" fmla="*/ 1439335 h 2074333"/>
            <a:gd name="connsiteX7" fmla="*/ 3397250 w 4561418"/>
            <a:gd name="connsiteY7" fmla="*/ 1407585 h 2074333"/>
            <a:gd name="connsiteX8" fmla="*/ 3958167 w 4561418"/>
            <a:gd name="connsiteY8" fmla="*/ 624419 h 2074333"/>
            <a:gd name="connsiteX9" fmla="*/ 4561418 w 4561418"/>
            <a:gd name="connsiteY9" fmla="*/ 2042584 h 2074333"/>
            <a:gd name="connsiteX0" fmla="*/ 0 w 4561418"/>
            <a:gd name="connsiteY0" fmla="*/ 455084 h 2042584"/>
            <a:gd name="connsiteX1" fmla="*/ 550334 w 4561418"/>
            <a:gd name="connsiteY1" fmla="*/ 973668 h 2042584"/>
            <a:gd name="connsiteX2" fmla="*/ 1206501 w 4561418"/>
            <a:gd name="connsiteY2" fmla="*/ 1608665 h 2042584"/>
            <a:gd name="connsiteX3" fmla="*/ 1725083 w 4561418"/>
            <a:gd name="connsiteY3" fmla="*/ 0 h 2042584"/>
            <a:gd name="connsiteX4" fmla="*/ 2233085 w 4561418"/>
            <a:gd name="connsiteY4" fmla="*/ 1164168 h 2042584"/>
            <a:gd name="connsiteX5" fmla="*/ 2878668 w 4561418"/>
            <a:gd name="connsiteY5" fmla="*/ 211667 h 2042584"/>
            <a:gd name="connsiteX6" fmla="*/ 3386668 w 4561418"/>
            <a:gd name="connsiteY6" fmla="*/ 1439335 h 2042584"/>
            <a:gd name="connsiteX7" fmla="*/ 3397250 w 4561418"/>
            <a:gd name="connsiteY7" fmla="*/ 1407585 h 2042584"/>
            <a:gd name="connsiteX8" fmla="*/ 3958167 w 4561418"/>
            <a:gd name="connsiteY8" fmla="*/ 624419 h 2042584"/>
            <a:gd name="connsiteX9" fmla="*/ 4561418 w 4561418"/>
            <a:gd name="connsiteY9" fmla="*/ 2042584 h 2042584"/>
            <a:gd name="connsiteX0" fmla="*/ 0 w 4561418"/>
            <a:gd name="connsiteY0" fmla="*/ 455084 h 2042584"/>
            <a:gd name="connsiteX1" fmla="*/ 550334 w 4561418"/>
            <a:gd name="connsiteY1" fmla="*/ 973668 h 2042584"/>
            <a:gd name="connsiteX2" fmla="*/ 1206501 w 4561418"/>
            <a:gd name="connsiteY2" fmla="*/ 1608665 h 2042584"/>
            <a:gd name="connsiteX3" fmla="*/ 1725083 w 4561418"/>
            <a:gd name="connsiteY3" fmla="*/ 0 h 2042584"/>
            <a:gd name="connsiteX4" fmla="*/ 2233085 w 4561418"/>
            <a:gd name="connsiteY4" fmla="*/ 1164168 h 2042584"/>
            <a:gd name="connsiteX5" fmla="*/ 2878668 w 4561418"/>
            <a:gd name="connsiteY5" fmla="*/ 211667 h 2042584"/>
            <a:gd name="connsiteX6" fmla="*/ 3386668 w 4561418"/>
            <a:gd name="connsiteY6" fmla="*/ 1439335 h 2042584"/>
            <a:gd name="connsiteX7" fmla="*/ 3450166 w 4561418"/>
            <a:gd name="connsiteY7" fmla="*/ 1852084 h 2042584"/>
            <a:gd name="connsiteX8" fmla="*/ 3958167 w 4561418"/>
            <a:gd name="connsiteY8" fmla="*/ 624419 h 2042584"/>
            <a:gd name="connsiteX9" fmla="*/ 4561418 w 4561418"/>
            <a:gd name="connsiteY9" fmla="*/ 2042584 h 2042584"/>
            <a:gd name="connsiteX0" fmla="*/ 0 w 4561418"/>
            <a:gd name="connsiteY0" fmla="*/ 455084 h 2042584"/>
            <a:gd name="connsiteX1" fmla="*/ 550334 w 4561418"/>
            <a:gd name="connsiteY1" fmla="*/ 973668 h 2042584"/>
            <a:gd name="connsiteX2" fmla="*/ 1206501 w 4561418"/>
            <a:gd name="connsiteY2" fmla="*/ 1608665 h 2042584"/>
            <a:gd name="connsiteX3" fmla="*/ 1725083 w 4561418"/>
            <a:gd name="connsiteY3" fmla="*/ 0 h 2042584"/>
            <a:gd name="connsiteX4" fmla="*/ 2233085 w 4561418"/>
            <a:gd name="connsiteY4" fmla="*/ 1164168 h 2042584"/>
            <a:gd name="connsiteX5" fmla="*/ 2878668 w 4561418"/>
            <a:gd name="connsiteY5" fmla="*/ 211667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561418"/>
            <a:gd name="connsiteY0" fmla="*/ 455084 h 2042584"/>
            <a:gd name="connsiteX1" fmla="*/ 560918 w 4561418"/>
            <a:gd name="connsiteY1" fmla="*/ 920751 h 2042584"/>
            <a:gd name="connsiteX2" fmla="*/ 1206501 w 4561418"/>
            <a:gd name="connsiteY2" fmla="*/ 1608665 h 2042584"/>
            <a:gd name="connsiteX3" fmla="*/ 1725083 w 4561418"/>
            <a:gd name="connsiteY3" fmla="*/ 0 h 2042584"/>
            <a:gd name="connsiteX4" fmla="*/ 2233085 w 4561418"/>
            <a:gd name="connsiteY4" fmla="*/ 1164168 h 2042584"/>
            <a:gd name="connsiteX5" fmla="*/ 2878668 w 4561418"/>
            <a:gd name="connsiteY5" fmla="*/ 211667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561418"/>
            <a:gd name="connsiteY0" fmla="*/ 455084 h 2042584"/>
            <a:gd name="connsiteX1" fmla="*/ 560918 w 4561418"/>
            <a:gd name="connsiteY1" fmla="*/ 920751 h 2042584"/>
            <a:gd name="connsiteX2" fmla="*/ 1206501 w 4561418"/>
            <a:gd name="connsiteY2" fmla="*/ 1608665 h 2042584"/>
            <a:gd name="connsiteX3" fmla="*/ 1725083 w 4561418"/>
            <a:gd name="connsiteY3" fmla="*/ 0 h 2042584"/>
            <a:gd name="connsiteX4" fmla="*/ 2233085 w 4561418"/>
            <a:gd name="connsiteY4" fmla="*/ 1164168 h 2042584"/>
            <a:gd name="connsiteX5" fmla="*/ 2804585 w 4561418"/>
            <a:gd name="connsiteY5" fmla="*/ 211667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561418"/>
            <a:gd name="connsiteY0" fmla="*/ 455084 h 2042584"/>
            <a:gd name="connsiteX1" fmla="*/ 560918 w 4561418"/>
            <a:gd name="connsiteY1" fmla="*/ 920751 h 2042584"/>
            <a:gd name="connsiteX2" fmla="*/ 1206501 w 4561418"/>
            <a:gd name="connsiteY2" fmla="*/ 1608665 h 2042584"/>
            <a:gd name="connsiteX3" fmla="*/ 1725083 w 4561418"/>
            <a:gd name="connsiteY3" fmla="*/ 0 h 2042584"/>
            <a:gd name="connsiteX4" fmla="*/ 2233085 w 4561418"/>
            <a:gd name="connsiteY4" fmla="*/ 1164168 h 2042584"/>
            <a:gd name="connsiteX5" fmla="*/ 2868085 w 4561418"/>
            <a:gd name="connsiteY5" fmla="*/ 190501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561418"/>
            <a:gd name="connsiteY0" fmla="*/ 455084 h 2042584"/>
            <a:gd name="connsiteX1" fmla="*/ 560918 w 4561418"/>
            <a:gd name="connsiteY1" fmla="*/ 920751 h 2042584"/>
            <a:gd name="connsiteX2" fmla="*/ 1132418 w 4561418"/>
            <a:gd name="connsiteY2" fmla="*/ 624415 h 2042584"/>
            <a:gd name="connsiteX3" fmla="*/ 1725083 w 4561418"/>
            <a:gd name="connsiteY3" fmla="*/ 0 h 2042584"/>
            <a:gd name="connsiteX4" fmla="*/ 2233085 w 4561418"/>
            <a:gd name="connsiteY4" fmla="*/ 1164168 h 2042584"/>
            <a:gd name="connsiteX5" fmla="*/ 2868085 w 4561418"/>
            <a:gd name="connsiteY5" fmla="*/ 190501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561418"/>
            <a:gd name="connsiteY0" fmla="*/ 455084 h 2042584"/>
            <a:gd name="connsiteX1" fmla="*/ 560918 w 4561418"/>
            <a:gd name="connsiteY1" fmla="*/ 920751 h 2042584"/>
            <a:gd name="connsiteX2" fmla="*/ 1132418 w 4561418"/>
            <a:gd name="connsiteY2" fmla="*/ 624415 h 2042584"/>
            <a:gd name="connsiteX3" fmla="*/ 1725083 w 4561418"/>
            <a:gd name="connsiteY3" fmla="*/ 0 h 2042584"/>
            <a:gd name="connsiteX4" fmla="*/ 2264835 w 4561418"/>
            <a:gd name="connsiteY4" fmla="*/ 433918 h 2042584"/>
            <a:gd name="connsiteX5" fmla="*/ 2868085 w 4561418"/>
            <a:gd name="connsiteY5" fmla="*/ 190501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561418"/>
            <a:gd name="connsiteY0" fmla="*/ 455084 h 2042584"/>
            <a:gd name="connsiteX1" fmla="*/ 560918 w 4561418"/>
            <a:gd name="connsiteY1" fmla="*/ 920751 h 2042584"/>
            <a:gd name="connsiteX2" fmla="*/ 1132418 w 4561418"/>
            <a:gd name="connsiteY2" fmla="*/ 624415 h 2042584"/>
            <a:gd name="connsiteX3" fmla="*/ 1725083 w 4561418"/>
            <a:gd name="connsiteY3" fmla="*/ 0 h 2042584"/>
            <a:gd name="connsiteX4" fmla="*/ 2307168 w 4561418"/>
            <a:gd name="connsiteY4" fmla="*/ 1375834 h 2042584"/>
            <a:gd name="connsiteX5" fmla="*/ 2868085 w 4561418"/>
            <a:gd name="connsiteY5" fmla="*/ 190501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561418"/>
            <a:gd name="connsiteY0" fmla="*/ 455084 h 2042584"/>
            <a:gd name="connsiteX1" fmla="*/ 560918 w 4561418"/>
            <a:gd name="connsiteY1" fmla="*/ 920751 h 2042584"/>
            <a:gd name="connsiteX2" fmla="*/ 1153585 w 4561418"/>
            <a:gd name="connsiteY2" fmla="*/ 1640414 h 2042584"/>
            <a:gd name="connsiteX3" fmla="*/ 1725083 w 4561418"/>
            <a:gd name="connsiteY3" fmla="*/ 0 h 2042584"/>
            <a:gd name="connsiteX4" fmla="*/ 2307168 w 4561418"/>
            <a:gd name="connsiteY4" fmla="*/ 1375834 h 2042584"/>
            <a:gd name="connsiteX5" fmla="*/ 2868085 w 4561418"/>
            <a:gd name="connsiteY5" fmla="*/ 190501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561418"/>
            <a:gd name="connsiteY0" fmla="*/ 455084 h 2042584"/>
            <a:gd name="connsiteX1" fmla="*/ 560918 w 4561418"/>
            <a:gd name="connsiteY1" fmla="*/ 920751 h 2042584"/>
            <a:gd name="connsiteX2" fmla="*/ 1153585 w 4561418"/>
            <a:gd name="connsiteY2" fmla="*/ 1640414 h 2042584"/>
            <a:gd name="connsiteX3" fmla="*/ 1725083 w 4561418"/>
            <a:gd name="connsiteY3" fmla="*/ 0 h 2042584"/>
            <a:gd name="connsiteX4" fmla="*/ 2286002 w 4561418"/>
            <a:gd name="connsiteY4" fmla="*/ 1153583 h 2042584"/>
            <a:gd name="connsiteX5" fmla="*/ 2868085 w 4561418"/>
            <a:gd name="connsiteY5" fmla="*/ 190501 h 2042584"/>
            <a:gd name="connsiteX6" fmla="*/ 3450166 w 4561418"/>
            <a:gd name="connsiteY6" fmla="*/ 1852084 h 2042584"/>
            <a:gd name="connsiteX7" fmla="*/ 3958167 w 4561418"/>
            <a:gd name="connsiteY7" fmla="*/ 624419 h 2042584"/>
            <a:gd name="connsiteX8" fmla="*/ 4561418 w 4561418"/>
            <a:gd name="connsiteY8" fmla="*/ 2042584 h 2042584"/>
            <a:gd name="connsiteX0" fmla="*/ 0 w 4487334"/>
            <a:gd name="connsiteY0" fmla="*/ 2328333 h 2328333"/>
            <a:gd name="connsiteX1" fmla="*/ 486834 w 4487334"/>
            <a:gd name="connsiteY1" fmla="*/ 920751 h 2328333"/>
            <a:gd name="connsiteX2" fmla="*/ 1079501 w 4487334"/>
            <a:gd name="connsiteY2" fmla="*/ 1640414 h 2328333"/>
            <a:gd name="connsiteX3" fmla="*/ 1650999 w 4487334"/>
            <a:gd name="connsiteY3" fmla="*/ 0 h 2328333"/>
            <a:gd name="connsiteX4" fmla="*/ 2211918 w 4487334"/>
            <a:gd name="connsiteY4" fmla="*/ 1153583 h 2328333"/>
            <a:gd name="connsiteX5" fmla="*/ 2794001 w 4487334"/>
            <a:gd name="connsiteY5" fmla="*/ 190501 h 2328333"/>
            <a:gd name="connsiteX6" fmla="*/ 3376082 w 4487334"/>
            <a:gd name="connsiteY6" fmla="*/ 1852084 h 2328333"/>
            <a:gd name="connsiteX7" fmla="*/ 3884083 w 4487334"/>
            <a:gd name="connsiteY7" fmla="*/ 624419 h 2328333"/>
            <a:gd name="connsiteX8" fmla="*/ 4487334 w 4487334"/>
            <a:gd name="connsiteY8" fmla="*/ 2042584 h 2328333"/>
            <a:gd name="connsiteX0" fmla="*/ 0 w 4487334"/>
            <a:gd name="connsiteY0" fmla="*/ 2328333 h 2328333"/>
            <a:gd name="connsiteX1" fmla="*/ 508001 w 4487334"/>
            <a:gd name="connsiteY1" fmla="*/ 423334 h 2328333"/>
            <a:gd name="connsiteX2" fmla="*/ 1079501 w 4487334"/>
            <a:gd name="connsiteY2" fmla="*/ 1640414 h 2328333"/>
            <a:gd name="connsiteX3" fmla="*/ 1650999 w 4487334"/>
            <a:gd name="connsiteY3" fmla="*/ 0 h 2328333"/>
            <a:gd name="connsiteX4" fmla="*/ 2211918 w 4487334"/>
            <a:gd name="connsiteY4" fmla="*/ 1153583 h 2328333"/>
            <a:gd name="connsiteX5" fmla="*/ 2794001 w 4487334"/>
            <a:gd name="connsiteY5" fmla="*/ 190501 h 2328333"/>
            <a:gd name="connsiteX6" fmla="*/ 3376082 w 4487334"/>
            <a:gd name="connsiteY6" fmla="*/ 1852084 h 2328333"/>
            <a:gd name="connsiteX7" fmla="*/ 3884083 w 4487334"/>
            <a:gd name="connsiteY7" fmla="*/ 624419 h 2328333"/>
            <a:gd name="connsiteX8" fmla="*/ 4487334 w 4487334"/>
            <a:gd name="connsiteY8" fmla="*/ 2042584 h 2328333"/>
            <a:gd name="connsiteX0" fmla="*/ 0 w 4487334"/>
            <a:gd name="connsiteY0" fmla="*/ 2328333 h 2328333"/>
            <a:gd name="connsiteX1" fmla="*/ 508001 w 4487334"/>
            <a:gd name="connsiteY1" fmla="*/ 423334 h 2328333"/>
            <a:gd name="connsiteX2" fmla="*/ 994834 w 4487334"/>
            <a:gd name="connsiteY2" fmla="*/ 941914 h 2328333"/>
            <a:gd name="connsiteX3" fmla="*/ 1650999 w 4487334"/>
            <a:gd name="connsiteY3" fmla="*/ 0 h 2328333"/>
            <a:gd name="connsiteX4" fmla="*/ 2211918 w 4487334"/>
            <a:gd name="connsiteY4" fmla="*/ 1153583 h 2328333"/>
            <a:gd name="connsiteX5" fmla="*/ 2794001 w 4487334"/>
            <a:gd name="connsiteY5" fmla="*/ 190501 h 2328333"/>
            <a:gd name="connsiteX6" fmla="*/ 3376082 w 4487334"/>
            <a:gd name="connsiteY6" fmla="*/ 1852084 h 2328333"/>
            <a:gd name="connsiteX7" fmla="*/ 3884083 w 4487334"/>
            <a:gd name="connsiteY7" fmla="*/ 624419 h 2328333"/>
            <a:gd name="connsiteX8" fmla="*/ 4487334 w 4487334"/>
            <a:gd name="connsiteY8" fmla="*/ 2042584 h 2328333"/>
            <a:gd name="connsiteX0" fmla="*/ 0 w 4487334"/>
            <a:gd name="connsiteY0" fmla="*/ 2137832 h 2137832"/>
            <a:gd name="connsiteX1" fmla="*/ 508001 w 4487334"/>
            <a:gd name="connsiteY1" fmla="*/ 232833 h 2137832"/>
            <a:gd name="connsiteX2" fmla="*/ 994834 w 4487334"/>
            <a:gd name="connsiteY2" fmla="*/ 751413 h 2137832"/>
            <a:gd name="connsiteX3" fmla="*/ 1661582 w 4487334"/>
            <a:gd name="connsiteY3" fmla="*/ 1428748 h 2137832"/>
            <a:gd name="connsiteX4" fmla="*/ 2211918 w 4487334"/>
            <a:gd name="connsiteY4" fmla="*/ 963082 h 2137832"/>
            <a:gd name="connsiteX5" fmla="*/ 2794001 w 4487334"/>
            <a:gd name="connsiteY5" fmla="*/ 0 h 2137832"/>
            <a:gd name="connsiteX6" fmla="*/ 3376082 w 4487334"/>
            <a:gd name="connsiteY6" fmla="*/ 1661583 h 2137832"/>
            <a:gd name="connsiteX7" fmla="*/ 3884083 w 4487334"/>
            <a:gd name="connsiteY7" fmla="*/ 433918 h 2137832"/>
            <a:gd name="connsiteX8" fmla="*/ 4487334 w 4487334"/>
            <a:gd name="connsiteY8" fmla="*/ 1852083 h 2137832"/>
            <a:gd name="connsiteX0" fmla="*/ 0 w 4487334"/>
            <a:gd name="connsiteY0" fmla="*/ 2360083 h 2360083"/>
            <a:gd name="connsiteX1" fmla="*/ 508001 w 4487334"/>
            <a:gd name="connsiteY1" fmla="*/ 455084 h 2360083"/>
            <a:gd name="connsiteX2" fmla="*/ 994834 w 4487334"/>
            <a:gd name="connsiteY2" fmla="*/ 973664 h 2360083"/>
            <a:gd name="connsiteX3" fmla="*/ 1661582 w 4487334"/>
            <a:gd name="connsiteY3" fmla="*/ 1650999 h 2360083"/>
            <a:gd name="connsiteX4" fmla="*/ 2222502 w 4487334"/>
            <a:gd name="connsiteY4" fmla="*/ 0 h 2360083"/>
            <a:gd name="connsiteX5" fmla="*/ 2794001 w 4487334"/>
            <a:gd name="connsiteY5" fmla="*/ 222251 h 2360083"/>
            <a:gd name="connsiteX6" fmla="*/ 3376082 w 4487334"/>
            <a:gd name="connsiteY6" fmla="*/ 1883834 h 2360083"/>
            <a:gd name="connsiteX7" fmla="*/ 3884083 w 4487334"/>
            <a:gd name="connsiteY7" fmla="*/ 656169 h 2360083"/>
            <a:gd name="connsiteX8" fmla="*/ 4487334 w 4487334"/>
            <a:gd name="connsiteY8" fmla="*/ 2074334 h 2360083"/>
            <a:gd name="connsiteX0" fmla="*/ 0 w 4487334"/>
            <a:gd name="connsiteY0" fmla="*/ 2360083 h 2360083"/>
            <a:gd name="connsiteX1" fmla="*/ 508001 w 4487334"/>
            <a:gd name="connsiteY1" fmla="*/ 455084 h 2360083"/>
            <a:gd name="connsiteX2" fmla="*/ 994834 w 4487334"/>
            <a:gd name="connsiteY2" fmla="*/ 973664 h 2360083"/>
            <a:gd name="connsiteX3" fmla="*/ 1661582 w 4487334"/>
            <a:gd name="connsiteY3" fmla="*/ 1650999 h 2360083"/>
            <a:gd name="connsiteX4" fmla="*/ 2222502 w 4487334"/>
            <a:gd name="connsiteY4" fmla="*/ 0 h 2360083"/>
            <a:gd name="connsiteX5" fmla="*/ 2783417 w 4487334"/>
            <a:gd name="connsiteY5" fmla="*/ 1174751 h 2360083"/>
            <a:gd name="connsiteX6" fmla="*/ 3376082 w 4487334"/>
            <a:gd name="connsiteY6" fmla="*/ 1883834 h 2360083"/>
            <a:gd name="connsiteX7" fmla="*/ 3884083 w 4487334"/>
            <a:gd name="connsiteY7" fmla="*/ 656169 h 2360083"/>
            <a:gd name="connsiteX8" fmla="*/ 4487334 w 4487334"/>
            <a:gd name="connsiteY8" fmla="*/ 2074334 h 2360083"/>
            <a:gd name="connsiteX0" fmla="*/ 0 w 4487334"/>
            <a:gd name="connsiteY0" fmla="*/ 2360083 h 2360083"/>
            <a:gd name="connsiteX1" fmla="*/ 508001 w 4487334"/>
            <a:gd name="connsiteY1" fmla="*/ 455084 h 2360083"/>
            <a:gd name="connsiteX2" fmla="*/ 994834 w 4487334"/>
            <a:gd name="connsiteY2" fmla="*/ 973664 h 2360083"/>
            <a:gd name="connsiteX3" fmla="*/ 1661582 w 4487334"/>
            <a:gd name="connsiteY3" fmla="*/ 1650999 h 2360083"/>
            <a:gd name="connsiteX4" fmla="*/ 2222502 w 4487334"/>
            <a:gd name="connsiteY4" fmla="*/ 0 h 2360083"/>
            <a:gd name="connsiteX5" fmla="*/ 2783417 w 4487334"/>
            <a:gd name="connsiteY5" fmla="*/ 1174751 h 2360083"/>
            <a:gd name="connsiteX6" fmla="*/ 3333749 w 4487334"/>
            <a:gd name="connsiteY6" fmla="*/ 211668 h 2360083"/>
            <a:gd name="connsiteX7" fmla="*/ 3884083 w 4487334"/>
            <a:gd name="connsiteY7" fmla="*/ 656169 h 2360083"/>
            <a:gd name="connsiteX8" fmla="*/ 4487334 w 4487334"/>
            <a:gd name="connsiteY8" fmla="*/ 2074334 h 2360083"/>
            <a:gd name="connsiteX0" fmla="*/ 0 w 4487334"/>
            <a:gd name="connsiteY0" fmla="*/ 2360083 h 2360083"/>
            <a:gd name="connsiteX1" fmla="*/ 508001 w 4487334"/>
            <a:gd name="connsiteY1" fmla="*/ 455084 h 2360083"/>
            <a:gd name="connsiteX2" fmla="*/ 994834 w 4487334"/>
            <a:gd name="connsiteY2" fmla="*/ 973664 h 2360083"/>
            <a:gd name="connsiteX3" fmla="*/ 1661582 w 4487334"/>
            <a:gd name="connsiteY3" fmla="*/ 1650999 h 2360083"/>
            <a:gd name="connsiteX4" fmla="*/ 2222502 w 4487334"/>
            <a:gd name="connsiteY4" fmla="*/ 0 h 2360083"/>
            <a:gd name="connsiteX5" fmla="*/ 2783417 w 4487334"/>
            <a:gd name="connsiteY5" fmla="*/ 1174751 h 2360083"/>
            <a:gd name="connsiteX6" fmla="*/ 3333749 w 4487334"/>
            <a:gd name="connsiteY6" fmla="*/ 211668 h 2360083"/>
            <a:gd name="connsiteX7" fmla="*/ 3884083 w 4487334"/>
            <a:gd name="connsiteY7" fmla="*/ 1407584 h 2360083"/>
            <a:gd name="connsiteX8" fmla="*/ 4487334 w 4487334"/>
            <a:gd name="connsiteY8" fmla="*/ 2074334 h 2360083"/>
            <a:gd name="connsiteX0" fmla="*/ 0 w 4487334"/>
            <a:gd name="connsiteY0" fmla="*/ 2360083 h 2360083"/>
            <a:gd name="connsiteX1" fmla="*/ 508001 w 4487334"/>
            <a:gd name="connsiteY1" fmla="*/ 455084 h 2360083"/>
            <a:gd name="connsiteX2" fmla="*/ 994834 w 4487334"/>
            <a:gd name="connsiteY2" fmla="*/ 973664 h 2360083"/>
            <a:gd name="connsiteX3" fmla="*/ 1661582 w 4487334"/>
            <a:gd name="connsiteY3" fmla="*/ 1650999 h 2360083"/>
            <a:gd name="connsiteX4" fmla="*/ 2222502 w 4487334"/>
            <a:gd name="connsiteY4" fmla="*/ 0 h 2360083"/>
            <a:gd name="connsiteX5" fmla="*/ 2783417 w 4487334"/>
            <a:gd name="connsiteY5" fmla="*/ 1174751 h 2360083"/>
            <a:gd name="connsiteX6" fmla="*/ 3333749 w 4487334"/>
            <a:gd name="connsiteY6" fmla="*/ 211668 h 2360083"/>
            <a:gd name="connsiteX7" fmla="*/ 3884083 w 4487334"/>
            <a:gd name="connsiteY7" fmla="*/ 1407584 h 2360083"/>
            <a:gd name="connsiteX8" fmla="*/ 4487334 w 4487334"/>
            <a:gd name="connsiteY8" fmla="*/ 730250 h 2360083"/>
            <a:gd name="connsiteX0" fmla="*/ 0 w 4519695"/>
            <a:gd name="connsiteY0" fmla="*/ 709084 h 1650999"/>
            <a:gd name="connsiteX1" fmla="*/ 540362 w 4519695"/>
            <a:gd name="connsiteY1" fmla="*/ 455084 h 1650999"/>
            <a:gd name="connsiteX2" fmla="*/ 1027195 w 4519695"/>
            <a:gd name="connsiteY2" fmla="*/ 973664 h 1650999"/>
            <a:gd name="connsiteX3" fmla="*/ 1693943 w 4519695"/>
            <a:gd name="connsiteY3" fmla="*/ 1650999 h 1650999"/>
            <a:gd name="connsiteX4" fmla="*/ 2254863 w 4519695"/>
            <a:gd name="connsiteY4" fmla="*/ 0 h 1650999"/>
            <a:gd name="connsiteX5" fmla="*/ 2815778 w 4519695"/>
            <a:gd name="connsiteY5" fmla="*/ 1174751 h 1650999"/>
            <a:gd name="connsiteX6" fmla="*/ 3366110 w 4519695"/>
            <a:gd name="connsiteY6" fmla="*/ 211668 h 1650999"/>
            <a:gd name="connsiteX7" fmla="*/ 3916444 w 4519695"/>
            <a:gd name="connsiteY7" fmla="*/ 1407584 h 1650999"/>
            <a:gd name="connsiteX8" fmla="*/ 4519695 w 4519695"/>
            <a:gd name="connsiteY8" fmla="*/ 730250 h 1650999"/>
            <a:gd name="connsiteX0" fmla="*/ 0 w 4519695"/>
            <a:gd name="connsiteY0" fmla="*/ 709084 h 2275416"/>
            <a:gd name="connsiteX1" fmla="*/ 594296 w 4519695"/>
            <a:gd name="connsiteY1" fmla="*/ 2275416 h 2275416"/>
            <a:gd name="connsiteX2" fmla="*/ 1027195 w 4519695"/>
            <a:gd name="connsiteY2" fmla="*/ 973664 h 2275416"/>
            <a:gd name="connsiteX3" fmla="*/ 1693943 w 4519695"/>
            <a:gd name="connsiteY3" fmla="*/ 1650999 h 2275416"/>
            <a:gd name="connsiteX4" fmla="*/ 2254863 w 4519695"/>
            <a:gd name="connsiteY4" fmla="*/ 0 h 2275416"/>
            <a:gd name="connsiteX5" fmla="*/ 2815778 w 4519695"/>
            <a:gd name="connsiteY5" fmla="*/ 1174751 h 2275416"/>
            <a:gd name="connsiteX6" fmla="*/ 3366110 w 4519695"/>
            <a:gd name="connsiteY6" fmla="*/ 211668 h 2275416"/>
            <a:gd name="connsiteX7" fmla="*/ 3916444 w 4519695"/>
            <a:gd name="connsiteY7" fmla="*/ 1407584 h 2275416"/>
            <a:gd name="connsiteX8" fmla="*/ 4519695 w 4519695"/>
            <a:gd name="connsiteY8" fmla="*/ 730250 h 2275416"/>
            <a:gd name="connsiteX0" fmla="*/ 0 w 4519695"/>
            <a:gd name="connsiteY0" fmla="*/ 709084 h 2275416"/>
            <a:gd name="connsiteX1" fmla="*/ 594296 w 4519695"/>
            <a:gd name="connsiteY1" fmla="*/ 2275416 h 2275416"/>
            <a:gd name="connsiteX2" fmla="*/ 1091916 w 4519695"/>
            <a:gd name="connsiteY2" fmla="*/ 455081 h 2275416"/>
            <a:gd name="connsiteX3" fmla="*/ 1693943 w 4519695"/>
            <a:gd name="connsiteY3" fmla="*/ 1650999 h 2275416"/>
            <a:gd name="connsiteX4" fmla="*/ 2254863 w 4519695"/>
            <a:gd name="connsiteY4" fmla="*/ 0 h 2275416"/>
            <a:gd name="connsiteX5" fmla="*/ 2815778 w 4519695"/>
            <a:gd name="connsiteY5" fmla="*/ 1174751 h 2275416"/>
            <a:gd name="connsiteX6" fmla="*/ 3366110 w 4519695"/>
            <a:gd name="connsiteY6" fmla="*/ 211668 h 2275416"/>
            <a:gd name="connsiteX7" fmla="*/ 3916444 w 4519695"/>
            <a:gd name="connsiteY7" fmla="*/ 1407584 h 2275416"/>
            <a:gd name="connsiteX8" fmla="*/ 4519695 w 4519695"/>
            <a:gd name="connsiteY8" fmla="*/ 730250 h 2275416"/>
            <a:gd name="connsiteX0" fmla="*/ 0 w 4519695"/>
            <a:gd name="connsiteY0" fmla="*/ 709084 h 2275416"/>
            <a:gd name="connsiteX1" fmla="*/ 594296 w 4519695"/>
            <a:gd name="connsiteY1" fmla="*/ 2275416 h 2275416"/>
            <a:gd name="connsiteX2" fmla="*/ 1091916 w 4519695"/>
            <a:gd name="connsiteY2" fmla="*/ 455081 h 2275416"/>
            <a:gd name="connsiteX3" fmla="*/ 1607649 w 4519695"/>
            <a:gd name="connsiteY3" fmla="*/ 1037166 h 2275416"/>
            <a:gd name="connsiteX4" fmla="*/ 2254863 w 4519695"/>
            <a:gd name="connsiteY4" fmla="*/ 0 h 2275416"/>
            <a:gd name="connsiteX5" fmla="*/ 2815778 w 4519695"/>
            <a:gd name="connsiteY5" fmla="*/ 1174751 h 2275416"/>
            <a:gd name="connsiteX6" fmla="*/ 3366110 w 4519695"/>
            <a:gd name="connsiteY6" fmla="*/ 211668 h 2275416"/>
            <a:gd name="connsiteX7" fmla="*/ 3916444 w 4519695"/>
            <a:gd name="connsiteY7" fmla="*/ 1407584 h 2275416"/>
            <a:gd name="connsiteX8" fmla="*/ 4519695 w 4519695"/>
            <a:gd name="connsiteY8" fmla="*/ 730250 h 2275416"/>
            <a:gd name="connsiteX0" fmla="*/ 0 w 4519695"/>
            <a:gd name="connsiteY0" fmla="*/ 497416 h 2063748"/>
            <a:gd name="connsiteX1" fmla="*/ 594296 w 4519695"/>
            <a:gd name="connsiteY1" fmla="*/ 2063748 h 2063748"/>
            <a:gd name="connsiteX2" fmla="*/ 1091916 w 4519695"/>
            <a:gd name="connsiteY2" fmla="*/ 243413 h 2063748"/>
            <a:gd name="connsiteX3" fmla="*/ 1607649 w 4519695"/>
            <a:gd name="connsiteY3" fmla="*/ 825498 h 2063748"/>
            <a:gd name="connsiteX4" fmla="*/ 2211716 w 4519695"/>
            <a:gd name="connsiteY4" fmla="*/ 1407581 h 2063748"/>
            <a:gd name="connsiteX5" fmla="*/ 2815778 w 4519695"/>
            <a:gd name="connsiteY5" fmla="*/ 963083 h 2063748"/>
            <a:gd name="connsiteX6" fmla="*/ 3366110 w 4519695"/>
            <a:gd name="connsiteY6" fmla="*/ 0 h 2063748"/>
            <a:gd name="connsiteX7" fmla="*/ 3916444 w 4519695"/>
            <a:gd name="connsiteY7" fmla="*/ 1195916 h 2063748"/>
            <a:gd name="connsiteX8" fmla="*/ 4519695 w 4519695"/>
            <a:gd name="connsiteY8" fmla="*/ 518582 h 2063748"/>
            <a:gd name="connsiteX0" fmla="*/ 0 w 4519695"/>
            <a:gd name="connsiteY0" fmla="*/ 719667 h 2285999"/>
            <a:gd name="connsiteX1" fmla="*/ 594296 w 4519695"/>
            <a:gd name="connsiteY1" fmla="*/ 2285999 h 2285999"/>
            <a:gd name="connsiteX2" fmla="*/ 1091916 w 4519695"/>
            <a:gd name="connsiteY2" fmla="*/ 465664 h 2285999"/>
            <a:gd name="connsiteX3" fmla="*/ 1607649 w 4519695"/>
            <a:gd name="connsiteY3" fmla="*/ 1047749 h 2285999"/>
            <a:gd name="connsiteX4" fmla="*/ 2211716 w 4519695"/>
            <a:gd name="connsiteY4" fmla="*/ 1629832 h 2285999"/>
            <a:gd name="connsiteX5" fmla="*/ 2783418 w 4519695"/>
            <a:gd name="connsiteY5" fmla="*/ 0 h 2285999"/>
            <a:gd name="connsiteX6" fmla="*/ 3366110 w 4519695"/>
            <a:gd name="connsiteY6" fmla="*/ 222251 h 2285999"/>
            <a:gd name="connsiteX7" fmla="*/ 3916444 w 4519695"/>
            <a:gd name="connsiteY7" fmla="*/ 1418167 h 2285999"/>
            <a:gd name="connsiteX8" fmla="*/ 4519695 w 4519695"/>
            <a:gd name="connsiteY8" fmla="*/ 740833 h 2285999"/>
            <a:gd name="connsiteX0" fmla="*/ 0 w 4519695"/>
            <a:gd name="connsiteY0" fmla="*/ 719667 h 2285999"/>
            <a:gd name="connsiteX1" fmla="*/ 594296 w 4519695"/>
            <a:gd name="connsiteY1" fmla="*/ 2285999 h 2285999"/>
            <a:gd name="connsiteX2" fmla="*/ 1091916 w 4519695"/>
            <a:gd name="connsiteY2" fmla="*/ 465664 h 2285999"/>
            <a:gd name="connsiteX3" fmla="*/ 1607649 w 4519695"/>
            <a:gd name="connsiteY3" fmla="*/ 1047749 h 2285999"/>
            <a:gd name="connsiteX4" fmla="*/ 2211716 w 4519695"/>
            <a:gd name="connsiteY4" fmla="*/ 1629832 h 2285999"/>
            <a:gd name="connsiteX5" fmla="*/ 2783418 w 4519695"/>
            <a:gd name="connsiteY5" fmla="*/ 0 h 2285999"/>
            <a:gd name="connsiteX6" fmla="*/ 3301389 w 4519695"/>
            <a:gd name="connsiteY6" fmla="*/ 1143000 h 2285999"/>
            <a:gd name="connsiteX7" fmla="*/ 3916444 w 4519695"/>
            <a:gd name="connsiteY7" fmla="*/ 1418167 h 2285999"/>
            <a:gd name="connsiteX8" fmla="*/ 4519695 w 4519695"/>
            <a:gd name="connsiteY8" fmla="*/ 740833 h 2285999"/>
            <a:gd name="connsiteX0" fmla="*/ 0 w 4519695"/>
            <a:gd name="connsiteY0" fmla="*/ 719667 h 2285999"/>
            <a:gd name="connsiteX1" fmla="*/ 594296 w 4519695"/>
            <a:gd name="connsiteY1" fmla="*/ 2285999 h 2285999"/>
            <a:gd name="connsiteX2" fmla="*/ 1091916 w 4519695"/>
            <a:gd name="connsiteY2" fmla="*/ 465664 h 2285999"/>
            <a:gd name="connsiteX3" fmla="*/ 1607649 w 4519695"/>
            <a:gd name="connsiteY3" fmla="*/ 1047749 h 2285999"/>
            <a:gd name="connsiteX4" fmla="*/ 2211716 w 4519695"/>
            <a:gd name="connsiteY4" fmla="*/ 1629832 h 2285999"/>
            <a:gd name="connsiteX5" fmla="*/ 2783418 w 4519695"/>
            <a:gd name="connsiteY5" fmla="*/ 0 h 2285999"/>
            <a:gd name="connsiteX6" fmla="*/ 3301389 w 4519695"/>
            <a:gd name="connsiteY6" fmla="*/ 1143000 h 2285999"/>
            <a:gd name="connsiteX7" fmla="*/ 3873297 w 4519695"/>
            <a:gd name="connsiteY7" fmla="*/ 264584 h 2285999"/>
            <a:gd name="connsiteX8" fmla="*/ 4519695 w 4519695"/>
            <a:gd name="connsiteY8" fmla="*/ 740833 h 2285999"/>
            <a:gd name="connsiteX0" fmla="*/ 0 w 4454974"/>
            <a:gd name="connsiteY0" fmla="*/ 719667 h 2285999"/>
            <a:gd name="connsiteX1" fmla="*/ 594296 w 4454974"/>
            <a:gd name="connsiteY1" fmla="*/ 2285999 h 2285999"/>
            <a:gd name="connsiteX2" fmla="*/ 1091916 w 4454974"/>
            <a:gd name="connsiteY2" fmla="*/ 465664 h 2285999"/>
            <a:gd name="connsiteX3" fmla="*/ 1607649 w 4454974"/>
            <a:gd name="connsiteY3" fmla="*/ 1047749 h 2285999"/>
            <a:gd name="connsiteX4" fmla="*/ 2211716 w 4454974"/>
            <a:gd name="connsiteY4" fmla="*/ 1629832 h 2285999"/>
            <a:gd name="connsiteX5" fmla="*/ 2783418 w 4454974"/>
            <a:gd name="connsiteY5" fmla="*/ 0 h 2285999"/>
            <a:gd name="connsiteX6" fmla="*/ 3301389 w 4454974"/>
            <a:gd name="connsiteY6" fmla="*/ 1143000 h 2285999"/>
            <a:gd name="connsiteX7" fmla="*/ 3873297 w 4454974"/>
            <a:gd name="connsiteY7" fmla="*/ 264584 h 2285999"/>
            <a:gd name="connsiteX8" fmla="*/ 4454974 w 4454974"/>
            <a:gd name="connsiteY8" fmla="*/ 1428748 h 2285999"/>
            <a:gd name="connsiteX0" fmla="*/ 0 w 4454974"/>
            <a:gd name="connsiteY0" fmla="*/ 719667 h 2285999"/>
            <a:gd name="connsiteX1" fmla="*/ 594296 w 4454974"/>
            <a:gd name="connsiteY1" fmla="*/ 2285999 h 2285999"/>
            <a:gd name="connsiteX2" fmla="*/ 1091916 w 4454974"/>
            <a:gd name="connsiteY2" fmla="*/ 465664 h 2285999"/>
            <a:gd name="connsiteX3" fmla="*/ 1629223 w 4454974"/>
            <a:gd name="connsiteY3" fmla="*/ 1005416 h 2285999"/>
            <a:gd name="connsiteX4" fmla="*/ 2211716 w 4454974"/>
            <a:gd name="connsiteY4" fmla="*/ 1629832 h 2285999"/>
            <a:gd name="connsiteX5" fmla="*/ 2783418 w 4454974"/>
            <a:gd name="connsiteY5" fmla="*/ 0 h 2285999"/>
            <a:gd name="connsiteX6" fmla="*/ 3301389 w 4454974"/>
            <a:gd name="connsiteY6" fmla="*/ 1143000 h 2285999"/>
            <a:gd name="connsiteX7" fmla="*/ 3873297 w 4454974"/>
            <a:gd name="connsiteY7" fmla="*/ 264584 h 2285999"/>
            <a:gd name="connsiteX8" fmla="*/ 4454974 w 4454974"/>
            <a:gd name="connsiteY8" fmla="*/ 1428748 h 2285999"/>
            <a:gd name="connsiteX0" fmla="*/ 0 w 4454974"/>
            <a:gd name="connsiteY0" fmla="*/ 7385 h 2285999"/>
            <a:gd name="connsiteX1" fmla="*/ 594296 w 4454974"/>
            <a:gd name="connsiteY1" fmla="*/ 2285999 h 2285999"/>
            <a:gd name="connsiteX2" fmla="*/ 1091916 w 4454974"/>
            <a:gd name="connsiteY2" fmla="*/ 465664 h 2285999"/>
            <a:gd name="connsiteX3" fmla="*/ 1629223 w 4454974"/>
            <a:gd name="connsiteY3" fmla="*/ 1005416 h 2285999"/>
            <a:gd name="connsiteX4" fmla="*/ 2211716 w 4454974"/>
            <a:gd name="connsiteY4" fmla="*/ 1629832 h 2285999"/>
            <a:gd name="connsiteX5" fmla="*/ 2783418 w 4454974"/>
            <a:gd name="connsiteY5" fmla="*/ 0 h 2285999"/>
            <a:gd name="connsiteX6" fmla="*/ 3301389 w 4454974"/>
            <a:gd name="connsiteY6" fmla="*/ 1143000 h 2285999"/>
            <a:gd name="connsiteX7" fmla="*/ 3873297 w 4454974"/>
            <a:gd name="connsiteY7" fmla="*/ 264584 h 2285999"/>
            <a:gd name="connsiteX8" fmla="*/ 4454974 w 4454974"/>
            <a:gd name="connsiteY8" fmla="*/ 1428748 h 2285999"/>
            <a:gd name="connsiteX0" fmla="*/ 0 w 4454974"/>
            <a:gd name="connsiteY0" fmla="*/ 7385 h 1629832"/>
            <a:gd name="connsiteX1" fmla="*/ 539577 w 4454974"/>
            <a:gd name="connsiteY1" fmla="*/ 1217576 h 1629832"/>
            <a:gd name="connsiteX2" fmla="*/ 1091916 w 4454974"/>
            <a:gd name="connsiteY2" fmla="*/ 465664 h 1629832"/>
            <a:gd name="connsiteX3" fmla="*/ 1629223 w 4454974"/>
            <a:gd name="connsiteY3" fmla="*/ 1005416 h 1629832"/>
            <a:gd name="connsiteX4" fmla="*/ 2211716 w 4454974"/>
            <a:gd name="connsiteY4" fmla="*/ 1629832 h 1629832"/>
            <a:gd name="connsiteX5" fmla="*/ 2783418 w 4454974"/>
            <a:gd name="connsiteY5" fmla="*/ 0 h 1629832"/>
            <a:gd name="connsiteX6" fmla="*/ 3301389 w 4454974"/>
            <a:gd name="connsiteY6" fmla="*/ 1143000 h 1629832"/>
            <a:gd name="connsiteX7" fmla="*/ 3873297 w 4454974"/>
            <a:gd name="connsiteY7" fmla="*/ 264584 h 1629832"/>
            <a:gd name="connsiteX8" fmla="*/ 4454974 w 4454974"/>
            <a:gd name="connsiteY8" fmla="*/ 1428748 h 1629832"/>
            <a:gd name="connsiteX0" fmla="*/ 0 w 4454974"/>
            <a:gd name="connsiteY0" fmla="*/ 7385 h 1629832"/>
            <a:gd name="connsiteX1" fmla="*/ 539577 w 4454974"/>
            <a:gd name="connsiteY1" fmla="*/ 1217576 h 1629832"/>
            <a:gd name="connsiteX2" fmla="*/ 1105596 w 4454974"/>
            <a:gd name="connsiteY2" fmla="*/ 301291 h 1629832"/>
            <a:gd name="connsiteX3" fmla="*/ 1629223 w 4454974"/>
            <a:gd name="connsiteY3" fmla="*/ 1005416 h 1629832"/>
            <a:gd name="connsiteX4" fmla="*/ 2211716 w 4454974"/>
            <a:gd name="connsiteY4" fmla="*/ 1629832 h 1629832"/>
            <a:gd name="connsiteX5" fmla="*/ 2783418 w 4454974"/>
            <a:gd name="connsiteY5" fmla="*/ 0 h 1629832"/>
            <a:gd name="connsiteX6" fmla="*/ 3301389 w 4454974"/>
            <a:gd name="connsiteY6" fmla="*/ 1143000 h 1629832"/>
            <a:gd name="connsiteX7" fmla="*/ 3873297 w 4454974"/>
            <a:gd name="connsiteY7" fmla="*/ 264584 h 1629832"/>
            <a:gd name="connsiteX8" fmla="*/ 4454974 w 4454974"/>
            <a:gd name="connsiteY8" fmla="*/ 1428748 h 1629832"/>
            <a:gd name="connsiteX0" fmla="*/ 0 w 4454974"/>
            <a:gd name="connsiteY0" fmla="*/ 7385 h 1629832"/>
            <a:gd name="connsiteX1" fmla="*/ 539577 w 4454974"/>
            <a:gd name="connsiteY1" fmla="*/ 1217576 h 1629832"/>
            <a:gd name="connsiteX2" fmla="*/ 1105596 w 4454974"/>
            <a:gd name="connsiteY2" fmla="*/ 301291 h 1629832"/>
            <a:gd name="connsiteX3" fmla="*/ 1683941 w 4454974"/>
            <a:gd name="connsiteY3" fmla="*/ 1471139 h 1629832"/>
            <a:gd name="connsiteX4" fmla="*/ 2211716 w 4454974"/>
            <a:gd name="connsiteY4" fmla="*/ 1629832 h 1629832"/>
            <a:gd name="connsiteX5" fmla="*/ 2783418 w 4454974"/>
            <a:gd name="connsiteY5" fmla="*/ 0 h 1629832"/>
            <a:gd name="connsiteX6" fmla="*/ 3301389 w 4454974"/>
            <a:gd name="connsiteY6" fmla="*/ 1143000 h 1629832"/>
            <a:gd name="connsiteX7" fmla="*/ 3873297 w 4454974"/>
            <a:gd name="connsiteY7" fmla="*/ 264584 h 1629832"/>
            <a:gd name="connsiteX8" fmla="*/ 4454974 w 4454974"/>
            <a:gd name="connsiteY8" fmla="*/ 1428748 h 1629832"/>
            <a:gd name="connsiteX0" fmla="*/ 0 w 4454974"/>
            <a:gd name="connsiteY0" fmla="*/ 7385 h 1471139"/>
            <a:gd name="connsiteX1" fmla="*/ 539577 w 4454974"/>
            <a:gd name="connsiteY1" fmla="*/ 1217576 h 1471139"/>
            <a:gd name="connsiteX2" fmla="*/ 1105596 w 4454974"/>
            <a:gd name="connsiteY2" fmla="*/ 301291 h 1471139"/>
            <a:gd name="connsiteX3" fmla="*/ 1683941 w 4454974"/>
            <a:gd name="connsiteY3" fmla="*/ 1471139 h 1471139"/>
            <a:gd name="connsiteX4" fmla="*/ 2170677 w 4454974"/>
            <a:gd name="connsiteY4" fmla="*/ 725781 h 1471139"/>
            <a:gd name="connsiteX5" fmla="*/ 2783418 w 4454974"/>
            <a:gd name="connsiteY5" fmla="*/ 0 h 1471139"/>
            <a:gd name="connsiteX6" fmla="*/ 3301389 w 4454974"/>
            <a:gd name="connsiteY6" fmla="*/ 1143000 h 1471139"/>
            <a:gd name="connsiteX7" fmla="*/ 3873297 w 4454974"/>
            <a:gd name="connsiteY7" fmla="*/ 264584 h 1471139"/>
            <a:gd name="connsiteX8" fmla="*/ 4454974 w 4454974"/>
            <a:gd name="connsiteY8" fmla="*/ 1428748 h 1471139"/>
            <a:gd name="connsiteX0" fmla="*/ 0 w 4454974"/>
            <a:gd name="connsiteY0" fmla="*/ 0 h 2102065"/>
            <a:gd name="connsiteX1" fmla="*/ 539577 w 4454974"/>
            <a:gd name="connsiteY1" fmla="*/ 1210191 h 2102065"/>
            <a:gd name="connsiteX2" fmla="*/ 1105596 w 4454974"/>
            <a:gd name="connsiteY2" fmla="*/ 293906 h 2102065"/>
            <a:gd name="connsiteX3" fmla="*/ 1683941 w 4454974"/>
            <a:gd name="connsiteY3" fmla="*/ 1463754 h 2102065"/>
            <a:gd name="connsiteX4" fmla="*/ 2170677 w 4454974"/>
            <a:gd name="connsiteY4" fmla="*/ 718396 h 2102065"/>
            <a:gd name="connsiteX5" fmla="*/ 2865496 w 4454974"/>
            <a:gd name="connsiteY5" fmla="*/ 2102065 h 2102065"/>
            <a:gd name="connsiteX6" fmla="*/ 3301389 w 4454974"/>
            <a:gd name="connsiteY6" fmla="*/ 1135615 h 2102065"/>
            <a:gd name="connsiteX7" fmla="*/ 3873297 w 4454974"/>
            <a:gd name="connsiteY7" fmla="*/ 257199 h 2102065"/>
            <a:gd name="connsiteX8" fmla="*/ 4454974 w 4454974"/>
            <a:gd name="connsiteY8" fmla="*/ 1421363 h 2102065"/>
            <a:gd name="connsiteX0" fmla="*/ 0 w 4454974"/>
            <a:gd name="connsiteY0" fmla="*/ 0 h 2102065"/>
            <a:gd name="connsiteX1" fmla="*/ 539577 w 4454974"/>
            <a:gd name="connsiteY1" fmla="*/ 1210191 h 2102065"/>
            <a:gd name="connsiteX2" fmla="*/ 1105596 w 4454974"/>
            <a:gd name="connsiteY2" fmla="*/ 293906 h 2102065"/>
            <a:gd name="connsiteX3" fmla="*/ 1683941 w 4454974"/>
            <a:gd name="connsiteY3" fmla="*/ 1463754 h 2102065"/>
            <a:gd name="connsiteX4" fmla="*/ 2170677 w 4454974"/>
            <a:gd name="connsiteY4" fmla="*/ 718396 h 2102065"/>
            <a:gd name="connsiteX5" fmla="*/ 2865496 w 4454974"/>
            <a:gd name="connsiteY5" fmla="*/ 2102065 h 2102065"/>
            <a:gd name="connsiteX6" fmla="*/ 3369787 w 4454974"/>
            <a:gd name="connsiteY6" fmla="*/ 546613 h 2102065"/>
            <a:gd name="connsiteX7" fmla="*/ 3873297 w 4454974"/>
            <a:gd name="connsiteY7" fmla="*/ 257199 h 2102065"/>
            <a:gd name="connsiteX8" fmla="*/ 4454974 w 4454974"/>
            <a:gd name="connsiteY8" fmla="*/ 1421363 h 2102065"/>
            <a:gd name="connsiteX0" fmla="*/ 0 w 4454974"/>
            <a:gd name="connsiteY0" fmla="*/ 0 h 2102065"/>
            <a:gd name="connsiteX1" fmla="*/ 539577 w 4454974"/>
            <a:gd name="connsiteY1" fmla="*/ 1210191 h 2102065"/>
            <a:gd name="connsiteX2" fmla="*/ 1105596 w 4454974"/>
            <a:gd name="connsiteY2" fmla="*/ 293906 h 2102065"/>
            <a:gd name="connsiteX3" fmla="*/ 1683941 w 4454974"/>
            <a:gd name="connsiteY3" fmla="*/ 1463754 h 2102065"/>
            <a:gd name="connsiteX4" fmla="*/ 2170677 w 4454974"/>
            <a:gd name="connsiteY4" fmla="*/ 718396 h 2102065"/>
            <a:gd name="connsiteX5" fmla="*/ 2865496 w 4454974"/>
            <a:gd name="connsiteY5" fmla="*/ 2102065 h 2102065"/>
            <a:gd name="connsiteX6" fmla="*/ 3369787 w 4454974"/>
            <a:gd name="connsiteY6" fmla="*/ 546613 h 2102065"/>
            <a:gd name="connsiteX7" fmla="*/ 3886977 w 4454974"/>
            <a:gd name="connsiteY7" fmla="*/ 928387 h 2102065"/>
            <a:gd name="connsiteX8" fmla="*/ 4454974 w 4454974"/>
            <a:gd name="connsiteY8" fmla="*/ 1421363 h 2102065"/>
            <a:gd name="connsiteX0" fmla="*/ 0 w 4454974"/>
            <a:gd name="connsiteY0" fmla="*/ 0 h 2102065"/>
            <a:gd name="connsiteX1" fmla="*/ 539577 w 4454974"/>
            <a:gd name="connsiteY1" fmla="*/ 1210191 h 2102065"/>
            <a:gd name="connsiteX2" fmla="*/ 1105596 w 4454974"/>
            <a:gd name="connsiteY2" fmla="*/ 293906 h 2102065"/>
            <a:gd name="connsiteX3" fmla="*/ 1683941 w 4454974"/>
            <a:gd name="connsiteY3" fmla="*/ 1463754 h 2102065"/>
            <a:gd name="connsiteX4" fmla="*/ 2170677 w 4454974"/>
            <a:gd name="connsiteY4" fmla="*/ 718396 h 2102065"/>
            <a:gd name="connsiteX5" fmla="*/ 2865496 w 4454974"/>
            <a:gd name="connsiteY5" fmla="*/ 2102065 h 2102065"/>
            <a:gd name="connsiteX6" fmla="*/ 3369787 w 4454974"/>
            <a:gd name="connsiteY6" fmla="*/ 546613 h 2102065"/>
            <a:gd name="connsiteX7" fmla="*/ 3886977 w 4454974"/>
            <a:gd name="connsiteY7" fmla="*/ 928387 h 2102065"/>
            <a:gd name="connsiteX8" fmla="*/ 4454974 w 4454974"/>
            <a:gd name="connsiteY8" fmla="*/ 1599434 h 2102065"/>
            <a:gd name="connsiteX0" fmla="*/ 0 w 4454974"/>
            <a:gd name="connsiteY0" fmla="*/ 0 h 2102065"/>
            <a:gd name="connsiteX1" fmla="*/ 539577 w 4454974"/>
            <a:gd name="connsiteY1" fmla="*/ 1210191 h 2102065"/>
            <a:gd name="connsiteX2" fmla="*/ 1105596 w 4454974"/>
            <a:gd name="connsiteY2" fmla="*/ 293906 h 2102065"/>
            <a:gd name="connsiteX3" fmla="*/ 1671943 w 4454974"/>
            <a:gd name="connsiteY3" fmla="*/ 1334994 h 2102065"/>
            <a:gd name="connsiteX4" fmla="*/ 1683941 w 4454974"/>
            <a:gd name="connsiteY4" fmla="*/ 1463754 h 2102065"/>
            <a:gd name="connsiteX5" fmla="*/ 2170677 w 4454974"/>
            <a:gd name="connsiteY5" fmla="*/ 718396 h 2102065"/>
            <a:gd name="connsiteX6" fmla="*/ 2865496 w 4454974"/>
            <a:gd name="connsiteY6" fmla="*/ 2102065 h 2102065"/>
            <a:gd name="connsiteX7" fmla="*/ 3369787 w 4454974"/>
            <a:gd name="connsiteY7" fmla="*/ 546613 h 2102065"/>
            <a:gd name="connsiteX8" fmla="*/ 3886977 w 4454974"/>
            <a:gd name="connsiteY8" fmla="*/ 928387 h 2102065"/>
            <a:gd name="connsiteX9" fmla="*/ 4454974 w 4454974"/>
            <a:gd name="connsiteY9" fmla="*/ 1599434 h 2102065"/>
            <a:gd name="connsiteX0" fmla="*/ 0 w 4454974"/>
            <a:gd name="connsiteY0" fmla="*/ 0 h 2102065"/>
            <a:gd name="connsiteX1" fmla="*/ 539577 w 4454974"/>
            <a:gd name="connsiteY1" fmla="*/ 1210191 h 2102065"/>
            <a:gd name="connsiteX2" fmla="*/ 1105596 w 4454974"/>
            <a:gd name="connsiteY2" fmla="*/ 293906 h 2102065"/>
            <a:gd name="connsiteX3" fmla="*/ 1671943 w 4454974"/>
            <a:gd name="connsiteY3" fmla="*/ 1334994 h 2102065"/>
            <a:gd name="connsiteX4" fmla="*/ 1711300 w 4454974"/>
            <a:gd name="connsiteY4" fmla="*/ 1902082 h 2102065"/>
            <a:gd name="connsiteX5" fmla="*/ 2170677 w 4454974"/>
            <a:gd name="connsiteY5" fmla="*/ 718396 h 2102065"/>
            <a:gd name="connsiteX6" fmla="*/ 2865496 w 4454974"/>
            <a:gd name="connsiteY6" fmla="*/ 2102065 h 2102065"/>
            <a:gd name="connsiteX7" fmla="*/ 3369787 w 4454974"/>
            <a:gd name="connsiteY7" fmla="*/ 546613 h 2102065"/>
            <a:gd name="connsiteX8" fmla="*/ 3886977 w 4454974"/>
            <a:gd name="connsiteY8" fmla="*/ 928387 h 2102065"/>
            <a:gd name="connsiteX9" fmla="*/ 4454974 w 4454974"/>
            <a:gd name="connsiteY9" fmla="*/ 1599434 h 2102065"/>
            <a:gd name="connsiteX0" fmla="*/ 0 w 4454974"/>
            <a:gd name="connsiteY0" fmla="*/ 0 h 2102065"/>
            <a:gd name="connsiteX1" fmla="*/ 539577 w 4454974"/>
            <a:gd name="connsiteY1" fmla="*/ 1210191 h 2102065"/>
            <a:gd name="connsiteX2" fmla="*/ 1105596 w 4454974"/>
            <a:gd name="connsiteY2" fmla="*/ 293906 h 2102065"/>
            <a:gd name="connsiteX3" fmla="*/ 1754021 w 4454974"/>
            <a:gd name="connsiteY3" fmla="*/ 1910299 h 2102065"/>
            <a:gd name="connsiteX4" fmla="*/ 1711300 w 4454974"/>
            <a:gd name="connsiteY4" fmla="*/ 1902082 h 2102065"/>
            <a:gd name="connsiteX5" fmla="*/ 2170677 w 4454974"/>
            <a:gd name="connsiteY5" fmla="*/ 718396 h 2102065"/>
            <a:gd name="connsiteX6" fmla="*/ 2865496 w 4454974"/>
            <a:gd name="connsiteY6" fmla="*/ 2102065 h 2102065"/>
            <a:gd name="connsiteX7" fmla="*/ 3369787 w 4454974"/>
            <a:gd name="connsiteY7" fmla="*/ 546613 h 2102065"/>
            <a:gd name="connsiteX8" fmla="*/ 3886977 w 4454974"/>
            <a:gd name="connsiteY8" fmla="*/ 928387 h 2102065"/>
            <a:gd name="connsiteX9" fmla="*/ 4454974 w 4454974"/>
            <a:gd name="connsiteY9" fmla="*/ 1599434 h 2102065"/>
            <a:gd name="connsiteX0" fmla="*/ 0 w 4419175"/>
            <a:gd name="connsiteY0" fmla="*/ 612966 h 1808159"/>
            <a:gd name="connsiteX1" fmla="*/ 503778 w 4419175"/>
            <a:gd name="connsiteY1" fmla="*/ 916285 h 1808159"/>
            <a:gd name="connsiteX2" fmla="*/ 1069797 w 4419175"/>
            <a:gd name="connsiteY2" fmla="*/ 0 h 1808159"/>
            <a:gd name="connsiteX3" fmla="*/ 1718222 w 4419175"/>
            <a:gd name="connsiteY3" fmla="*/ 1616393 h 1808159"/>
            <a:gd name="connsiteX4" fmla="*/ 1675501 w 4419175"/>
            <a:gd name="connsiteY4" fmla="*/ 1608176 h 1808159"/>
            <a:gd name="connsiteX5" fmla="*/ 2134878 w 4419175"/>
            <a:gd name="connsiteY5" fmla="*/ 424490 h 1808159"/>
            <a:gd name="connsiteX6" fmla="*/ 2829697 w 4419175"/>
            <a:gd name="connsiteY6" fmla="*/ 1808159 h 1808159"/>
            <a:gd name="connsiteX7" fmla="*/ 3333988 w 4419175"/>
            <a:gd name="connsiteY7" fmla="*/ 252707 h 1808159"/>
            <a:gd name="connsiteX8" fmla="*/ 3851178 w 4419175"/>
            <a:gd name="connsiteY8" fmla="*/ 634481 h 1808159"/>
            <a:gd name="connsiteX9" fmla="*/ 4419175 w 4419175"/>
            <a:gd name="connsiteY9" fmla="*/ 1305528 h 1808159"/>
            <a:gd name="connsiteX0" fmla="*/ 0 w 4419175"/>
            <a:gd name="connsiteY0" fmla="*/ 612966 h 1808159"/>
            <a:gd name="connsiteX1" fmla="*/ 527644 w 4419175"/>
            <a:gd name="connsiteY1" fmla="*/ 1369722 h 1808159"/>
            <a:gd name="connsiteX2" fmla="*/ 1069797 w 4419175"/>
            <a:gd name="connsiteY2" fmla="*/ 0 h 1808159"/>
            <a:gd name="connsiteX3" fmla="*/ 1718222 w 4419175"/>
            <a:gd name="connsiteY3" fmla="*/ 1616393 h 1808159"/>
            <a:gd name="connsiteX4" fmla="*/ 1675501 w 4419175"/>
            <a:gd name="connsiteY4" fmla="*/ 1608176 h 1808159"/>
            <a:gd name="connsiteX5" fmla="*/ 2134878 w 4419175"/>
            <a:gd name="connsiteY5" fmla="*/ 424490 h 1808159"/>
            <a:gd name="connsiteX6" fmla="*/ 2829697 w 4419175"/>
            <a:gd name="connsiteY6" fmla="*/ 1808159 h 1808159"/>
            <a:gd name="connsiteX7" fmla="*/ 3333988 w 4419175"/>
            <a:gd name="connsiteY7" fmla="*/ 252707 h 1808159"/>
            <a:gd name="connsiteX8" fmla="*/ 3851178 w 4419175"/>
            <a:gd name="connsiteY8" fmla="*/ 634481 h 1808159"/>
            <a:gd name="connsiteX9" fmla="*/ 4419175 w 4419175"/>
            <a:gd name="connsiteY9" fmla="*/ 1305528 h 1808159"/>
            <a:gd name="connsiteX0" fmla="*/ 0 w 4419175"/>
            <a:gd name="connsiteY0" fmla="*/ 882576 h 2077769"/>
            <a:gd name="connsiteX1" fmla="*/ 527644 w 4419175"/>
            <a:gd name="connsiteY1" fmla="*/ 1639332 h 2077769"/>
            <a:gd name="connsiteX2" fmla="*/ 1081730 w 4419175"/>
            <a:gd name="connsiteY2" fmla="*/ 0 h 2077769"/>
            <a:gd name="connsiteX3" fmla="*/ 1718222 w 4419175"/>
            <a:gd name="connsiteY3" fmla="*/ 1886003 h 2077769"/>
            <a:gd name="connsiteX4" fmla="*/ 1675501 w 4419175"/>
            <a:gd name="connsiteY4" fmla="*/ 1877786 h 2077769"/>
            <a:gd name="connsiteX5" fmla="*/ 2134878 w 4419175"/>
            <a:gd name="connsiteY5" fmla="*/ 694100 h 2077769"/>
            <a:gd name="connsiteX6" fmla="*/ 2829697 w 4419175"/>
            <a:gd name="connsiteY6" fmla="*/ 2077769 h 2077769"/>
            <a:gd name="connsiteX7" fmla="*/ 3333988 w 4419175"/>
            <a:gd name="connsiteY7" fmla="*/ 522317 h 2077769"/>
            <a:gd name="connsiteX8" fmla="*/ 3851178 w 4419175"/>
            <a:gd name="connsiteY8" fmla="*/ 904091 h 2077769"/>
            <a:gd name="connsiteX9" fmla="*/ 4419175 w 4419175"/>
            <a:gd name="connsiteY9" fmla="*/ 1575138 h 2077769"/>
            <a:gd name="connsiteX0" fmla="*/ 0 w 4419175"/>
            <a:gd name="connsiteY0" fmla="*/ 882576 h 2077769"/>
            <a:gd name="connsiteX1" fmla="*/ 527644 w 4419175"/>
            <a:gd name="connsiteY1" fmla="*/ 1639332 h 2077769"/>
            <a:gd name="connsiteX2" fmla="*/ 1045930 w 4419175"/>
            <a:gd name="connsiteY2" fmla="*/ 0 h 2077769"/>
            <a:gd name="connsiteX3" fmla="*/ 1718222 w 4419175"/>
            <a:gd name="connsiteY3" fmla="*/ 1886003 h 2077769"/>
            <a:gd name="connsiteX4" fmla="*/ 1675501 w 4419175"/>
            <a:gd name="connsiteY4" fmla="*/ 1877786 h 2077769"/>
            <a:gd name="connsiteX5" fmla="*/ 2134878 w 4419175"/>
            <a:gd name="connsiteY5" fmla="*/ 694100 h 2077769"/>
            <a:gd name="connsiteX6" fmla="*/ 2829697 w 4419175"/>
            <a:gd name="connsiteY6" fmla="*/ 2077769 h 2077769"/>
            <a:gd name="connsiteX7" fmla="*/ 3333988 w 4419175"/>
            <a:gd name="connsiteY7" fmla="*/ 522317 h 2077769"/>
            <a:gd name="connsiteX8" fmla="*/ 3851178 w 4419175"/>
            <a:gd name="connsiteY8" fmla="*/ 904091 h 2077769"/>
            <a:gd name="connsiteX9" fmla="*/ 4419175 w 4419175"/>
            <a:gd name="connsiteY9" fmla="*/ 1575138 h 2077769"/>
            <a:gd name="connsiteX0" fmla="*/ 0 w 4419175"/>
            <a:gd name="connsiteY0" fmla="*/ 882576 h 2077769"/>
            <a:gd name="connsiteX1" fmla="*/ 527644 w 4419175"/>
            <a:gd name="connsiteY1" fmla="*/ 1639332 h 2077769"/>
            <a:gd name="connsiteX2" fmla="*/ 1045930 w 4419175"/>
            <a:gd name="connsiteY2" fmla="*/ 0 h 2077769"/>
            <a:gd name="connsiteX3" fmla="*/ 1718222 w 4419175"/>
            <a:gd name="connsiteY3" fmla="*/ 1886003 h 2077769"/>
            <a:gd name="connsiteX4" fmla="*/ 1938027 w 4419175"/>
            <a:gd name="connsiteY4" fmla="*/ 1510136 h 2077769"/>
            <a:gd name="connsiteX5" fmla="*/ 2134878 w 4419175"/>
            <a:gd name="connsiteY5" fmla="*/ 694100 h 2077769"/>
            <a:gd name="connsiteX6" fmla="*/ 2829697 w 4419175"/>
            <a:gd name="connsiteY6" fmla="*/ 2077769 h 2077769"/>
            <a:gd name="connsiteX7" fmla="*/ 3333988 w 4419175"/>
            <a:gd name="connsiteY7" fmla="*/ 522317 h 2077769"/>
            <a:gd name="connsiteX8" fmla="*/ 3851178 w 4419175"/>
            <a:gd name="connsiteY8" fmla="*/ 904091 h 2077769"/>
            <a:gd name="connsiteX9" fmla="*/ 4419175 w 4419175"/>
            <a:gd name="connsiteY9" fmla="*/ 1575138 h 2077769"/>
            <a:gd name="connsiteX0" fmla="*/ 0 w 4419175"/>
            <a:gd name="connsiteY0" fmla="*/ 882576 h 2077769"/>
            <a:gd name="connsiteX1" fmla="*/ 527644 w 4419175"/>
            <a:gd name="connsiteY1" fmla="*/ 1639332 h 2077769"/>
            <a:gd name="connsiteX2" fmla="*/ 1045930 w 4419175"/>
            <a:gd name="connsiteY2" fmla="*/ 0 h 2077769"/>
            <a:gd name="connsiteX3" fmla="*/ 1622759 w 4419175"/>
            <a:gd name="connsiteY3" fmla="*/ 1113937 h 2077769"/>
            <a:gd name="connsiteX4" fmla="*/ 1938027 w 4419175"/>
            <a:gd name="connsiteY4" fmla="*/ 1510136 h 2077769"/>
            <a:gd name="connsiteX5" fmla="*/ 2134878 w 4419175"/>
            <a:gd name="connsiteY5" fmla="*/ 694100 h 2077769"/>
            <a:gd name="connsiteX6" fmla="*/ 2829697 w 4419175"/>
            <a:gd name="connsiteY6" fmla="*/ 2077769 h 2077769"/>
            <a:gd name="connsiteX7" fmla="*/ 3333988 w 4419175"/>
            <a:gd name="connsiteY7" fmla="*/ 522317 h 2077769"/>
            <a:gd name="connsiteX8" fmla="*/ 3851178 w 4419175"/>
            <a:gd name="connsiteY8" fmla="*/ 904091 h 2077769"/>
            <a:gd name="connsiteX9" fmla="*/ 4419175 w 4419175"/>
            <a:gd name="connsiteY9" fmla="*/ 1575138 h 2077769"/>
            <a:gd name="connsiteX0" fmla="*/ 0 w 4419175"/>
            <a:gd name="connsiteY0" fmla="*/ 882576 h 2077769"/>
            <a:gd name="connsiteX1" fmla="*/ 527644 w 4419175"/>
            <a:gd name="connsiteY1" fmla="*/ 1639332 h 2077769"/>
            <a:gd name="connsiteX2" fmla="*/ 1045930 w 4419175"/>
            <a:gd name="connsiteY2" fmla="*/ 0 h 2077769"/>
            <a:gd name="connsiteX3" fmla="*/ 1622759 w 4419175"/>
            <a:gd name="connsiteY3" fmla="*/ 1113937 h 2077769"/>
            <a:gd name="connsiteX4" fmla="*/ 2188619 w 4419175"/>
            <a:gd name="connsiteY4" fmla="*/ 223358 h 2077769"/>
            <a:gd name="connsiteX5" fmla="*/ 2134878 w 4419175"/>
            <a:gd name="connsiteY5" fmla="*/ 694100 h 2077769"/>
            <a:gd name="connsiteX6" fmla="*/ 2829697 w 4419175"/>
            <a:gd name="connsiteY6" fmla="*/ 2077769 h 2077769"/>
            <a:gd name="connsiteX7" fmla="*/ 3333988 w 4419175"/>
            <a:gd name="connsiteY7" fmla="*/ 522317 h 2077769"/>
            <a:gd name="connsiteX8" fmla="*/ 3851178 w 4419175"/>
            <a:gd name="connsiteY8" fmla="*/ 904091 h 2077769"/>
            <a:gd name="connsiteX9" fmla="*/ 4419175 w 4419175"/>
            <a:gd name="connsiteY9" fmla="*/ 1575138 h 2077769"/>
            <a:gd name="connsiteX0" fmla="*/ 0 w 4419175"/>
            <a:gd name="connsiteY0" fmla="*/ 882576 h 2077769"/>
            <a:gd name="connsiteX1" fmla="*/ 527644 w 4419175"/>
            <a:gd name="connsiteY1" fmla="*/ 1639332 h 2077769"/>
            <a:gd name="connsiteX2" fmla="*/ 1045930 w 4419175"/>
            <a:gd name="connsiteY2" fmla="*/ 0 h 2077769"/>
            <a:gd name="connsiteX3" fmla="*/ 1622759 w 4419175"/>
            <a:gd name="connsiteY3" fmla="*/ 1113937 h 2077769"/>
            <a:gd name="connsiteX4" fmla="*/ 2188619 w 4419175"/>
            <a:gd name="connsiteY4" fmla="*/ 223358 h 2077769"/>
            <a:gd name="connsiteX5" fmla="*/ 2803124 w 4419175"/>
            <a:gd name="connsiteY5" fmla="*/ 1417146 h 2077769"/>
            <a:gd name="connsiteX6" fmla="*/ 2829697 w 4419175"/>
            <a:gd name="connsiteY6" fmla="*/ 2077769 h 2077769"/>
            <a:gd name="connsiteX7" fmla="*/ 3333988 w 4419175"/>
            <a:gd name="connsiteY7" fmla="*/ 522317 h 2077769"/>
            <a:gd name="connsiteX8" fmla="*/ 3851178 w 4419175"/>
            <a:gd name="connsiteY8" fmla="*/ 904091 h 2077769"/>
            <a:gd name="connsiteX9" fmla="*/ 4419175 w 4419175"/>
            <a:gd name="connsiteY9" fmla="*/ 1575138 h 2077769"/>
            <a:gd name="connsiteX0" fmla="*/ 0 w 4419175"/>
            <a:gd name="connsiteY0" fmla="*/ 882576 h 1639332"/>
            <a:gd name="connsiteX1" fmla="*/ 527644 w 4419175"/>
            <a:gd name="connsiteY1" fmla="*/ 1639332 h 1639332"/>
            <a:gd name="connsiteX2" fmla="*/ 1045930 w 4419175"/>
            <a:gd name="connsiteY2" fmla="*/ 0 h 1639332"/>
            <a:gd name="connsiteX3" fmla="*/ 1622759 w 4419175"/>
            <a:gd name="connsiteY3" fmla="*/ 1113937 h 1639332"/>
            <a:gd name="connsiteX4" fmla="*/ 2188619 w 4419175"/>
            <a:gd name="connsiteY4" fmla="*/ 223358 h 1639332"/>
            <a:gd name="connsiteX5" fmla="*/ 2803124 w 4419175"/>
            <a:gd name="connsiteY5" fmla="*/ 1417146 h 1639332"/>
            <a:gd name="connsiteX6" fmla="*/ 3390546 w 4419175"/>
            <a:gd name="connsiteY6" fmla="*/ 717461 h 1639332"/>
            <a:gd name="connsiteX7" fmla="*/ 3333988 w 4419175"/>
            <a:gd name="connsiteY7" fmla="*/ 522317 h 1639332"/>
            <a:gd name="connsiteX8" fmla="*/ 3851178 w 4419175"/>
            <a:gd name="connsiteY8" fmla="*/ 904091 h 1639332"/>
            <a:gd name="connsiteX9" fmla="*/ 4419175 w 4419175"/>
            <a:gd name="connsiteY9" fmla="*/ 1575138 h 1639332"/>
            <a:gd name="connsiteX0" fmla="*/ 0 w 4419175"/>
            <a:gd name="connsiteY0" fmla="*/ 882576 h 2139982"/>
            <a:gd name="connsiteX1" fmla="*/ 527644 w 4419175"/>
            <a:gd name="connsiteY1" fmla="*/ 1639332 h 2139982"/>
            <a:gd name="connsiteX2" fmla="*/ 1045930 w 4419175"/>
            <a:gd name="connsiteY2" fmla="*/ 0 h 2139982"/>
            <a:gd name="connsiteX3" fmla="*/ 1622759 w 4419175"/>
            <a:gd name="connsiteY3" fmla="*/ 1113937 h 2139982"/>
            <a:gd name="connsiteX4" fmla="*/ 2188619 w 4419175"/>
            <a:gd name="connsiteY4" fmla="*/ 223358 h 2139982"/>
            <a:gd name="connsiteX5" fmla="*/ 2803124 w 4419175"/>
            <a:gd name="connsiteY5" fmla="*/ 1417146 h 2139982"/>
            <a:gd name="connsiteX6" fmla="*/ 3390546 w 4419175"/>
            <a:gd name="connsiteY6" fmla="*/ 717461 h 2139982"/>
            <a:gd name="connsiteX7" fmla="*/ 3930636 w 4419175"/>
            <a:gd name="connsiteY7" fmla="*/ 2139982 h 2139982"/>
            <a:gd name="connsiteX8" fmla="*/ 3851178 w 4419175"/>
            <a:gd name="connsiteY8" fmla="*/ 904091 h 2139982"/>
            <a:gd name="connsiteX9" fmla="*/ 4419175 w 4419175"/>
            <a:gd name="connsiteY9" fmla="*/ 1575138 h 2139982"/>
            <a:gd name="connsiteX0" fmla="*/ 0 w 4419175"/>
            <a:gd name="connsiteY0" fmla="*/ 882576 h 2078707"/>
            <a:gd name="connsiteX1" fmla="*/ 527644 w 4419175"/>
            <a:gd name="connsiteY1" fmla="*/ 1639332 h 2078707"/>
            <a:gd name="connsiteX2" fmla="*/ 1045930 w 4419175"/>
            <a:gd name="connsiteY2" fmla="*/ 0 h 2078707"/>
            <a:gd name="connsiteX3" fmla="*/ 1622759 w 4419175"/>
            <a:gd name="connsiteY3" fmla="*/ 1113937 h 2078707"/>
            <a:gd name="connsiteX4" fmla="*/ 2188619 w 4419175"/>
            <a:gd name="connsiteY4" fmla="*/ 223358 h 2078707"/>
            <a:gd name="connsiteX5" fmla="*/ 2803124 w 4419175"/>
            <a:gd name="connsiteY5" fmla="*/ 1417146 h 2078707"/>
            <a:gd name="connsiteX6" fmla="*/ 3390546 w 4419175"/>
            <a:gd name="connsiteY6" fmla="*/ 717461 h 2078707"/>
            <a:gd name="connsiteX7" fmla="*/ 3870971 w 4419175"/>
            <a:gd name="connsiteY7" fmla="*/ 2078707 h 2078707"/>
            <a:gd name="connsiteX8" fmla="*/ 3851178 w 4419175"/>
            <a:gd name="connsiteY8" fmla="*/ 904091 h 2078707"/>
            <a:gd name="connsiteX9" fmla="*/ 4419175 w 4419175"/>
            <a:gd name="connsiteY9" fmla="*/ 1575138 h 2078707"/>
            <a:gd name="connsiteX0" fmla="*/ 0 w 4447826"/>
            <a:gd name="connsiteY0" fmla="*/ 882576 h 2078707"/>
            <a:gd name="connsiteX1" fmla="*/ 527644 w 4447826"/>
            <a:gd name="connsiteY1" fmla="*/ 1639332 h 2078707"/>
            <a:gd name="connsiteX2" fmla="*/ 1045930 w 4447826"/>
            <a:gd name="connsiteY2" fmla="*/ 0 h 2078707"/>
            <a:gd name="connsiteX3" fmla="*/ 1622759 w 4447826"/>
            <a:gd name="connsiteY3" fmla="*/ 1113937 h 2078707"/>
            <a:gd name="connsiteX4" fmla="*/ 2188619 w 4447826"/>
            <a:gd name="connsiteY4" fmla="*/ 223358 h 2078707"/>
            <a:gd name="connsiteX5" fmla="*/ 2803124 w 4447826"/>
            <a:gd name="connsiteY5" fmla="*/ 1417146 h 2078707"/>
            <a:gd name="connsiteX6" fmla="*/ 3390546 w 4447826"/>
            <a:gd name="connsiteY6" fmla="*/ 717461 h 2078707"/>
            <a:gd name="connsiteX7" fmla="*/ 3870971 w 4447826"/>
            <a:gd name="connsiteY7" fmla="*/ 2078707 h 2078707"/>
            <a:gd name="connsiteX8" fmla="*/ 4447826 w 4447826"/>
            <a:gd name="connsiteY8" fmla="*/ 940855 h 2078707"/>
            <a:gd name="connsiteX9" fmla="*/ 4419175 w 4447826"/>
            <a:gd name="connsiteY9" fmla="*/ 1575138 h 2078707"/>
            <a:gd name="connsiteX0" fmla="*/ 0 w 4454974"/>
            <a:gd name="connsiteY0" fmla="*/ 882576 h 2078707"/>
            <a:gd name="connsiteX1" fmla="*/ 527644 w 4454974"/>
            <a:gd name="connsiteY1" fmla="*/ 1639332 h 2078707"/>
            <a:gd name="connsiteX2" fmla="*/ 1045930 w 4454974"/>
            <a:gd name="connsiteY2" fmla="*/ 0 h 2078707"/>
            <a:gd name="connsiteX3" fmla="*/ 1622759 w 4454974"/>
            <a:gd name="connsiteY3" fmla="*/ 1113937 h 2078707"/>
            <a:gd name="connsiteX4" fmla="*/ 2188619 w 4454974"/>
            <a:gd name="connsiteY4" fmla="*/ 223358 h 2078707"/>
            <a:gd name="connsiteX5" fmla="*/ 2803124 w 4454974"/>
            <a:gd name="connsiteY5" fmla="*/ 1417146 h 2078707"/>
            <a:gd name="connsiteX6" fmla="*/ 3390546 w 4454974"/>
            <a:gd name="connsiteY6" fmla="*/ 717461 h 2078707"/>
            <a:gd name="connsiteX7" fmla="*/ 3870971 w 4454974"/>
            <a:gd name="connsiteY7" fmla="*/ 2078707 h 2078707"/>
            <a:gd name="connsiteX8" fmla="*/ 4447826 w 4454974"/>
            <a:gd name="connsiteY8" fmla="*/ 940855 h 2078707"/>
            <a:gd name="connsiteX9" fmla="*/ 4454974 w 4454974"/>
            <a:gd name="connsiteY9" fmla="*/ 999152 h 2078707"/>
            <a:gd name="connsiteX0" fmla="*/ 0 w 4454974"/>
            <a:gd name="connsiteY0" fmla="*/ 882576 h 2078707"/>
            <a:gd name="connsiteX1" fmla="*/ 527644 w 4454974"/>
            <a:gd name="connsiteY1" fmla="*/ 1639332 h 2078707"/>
            <a:gd name="connsiteX2" fmla="*/ 1045930 w 4454974"/>
            <a:gd name="connsiteY2" fmla="*/ 0 h 2078707"/>
            <a:gd name="connsiteX3" fmla="*/ 1622759 w 4454974"/>
            <a:gd name="connsiteY3" fmla="*/ 1113937 h 2078707"/>
            <a:gd name="connsiteX4" fmla="*/ 2188619 w 4454974"/>
            <a:gd name="connsiteY4" fmla="*/ 223358 h 2078707"/>
            <a:gd name="connsiteX5" fmla="*/ 2803124 w 4454974"/>
            <a:gd name="connsiteY5" fmla="*/ 1858327 h 2078707"/>
            <a:gd name="connsiteX6" fmla="*/ 3390546 w 4454974"/>
            <a:gd name="connsiteY6" fmla="*/ 717461 h 2078707"/>
            <a:gd name="connsiteX7" fmla="*/ 3870971 w 4454974"/>
            <a:gd name="connsiteY7" fmla="*/ 2078707 h 2078707"/>
            <a:gd name="connsiteX8" fmla="*/ 4447826 w 4454974"/>
            <a:gd name="connsiteY8" fmla="*/ 940855 h 2078707"/>
            <a:gd name="connsiteX9" fmla="*/ 4454974 w 4454974"/>
            <a:gd name="connsiteY9" fmla="*/ 999152 h 2078707"/>
            <a:gd name="connsiteX0" fmla="*/ 0 w 4564723"/>
            <a:gd name="connsiteY0" fmla="*/ 1127676 h 2078707"/>
            <a:gd name="connsiteX1" fmla="*/ 637393 w 4564723"/>
            <a:gd name="connsiteY1" fmla="*/ 1639332 h 2078707"/>
            <a:gd name="connsiteX2" fmla="*/ 1155679 w 4564723"/>
            <a:gd name="connsiteY2" fmla="*/ 0 h 2078707"/>
            <a:gd name="connsiteX3" fmla="*/ 1732508 w 4564723"/>
            <a:gd name="connsiteY3" fmla="*/ 1113937 h 2078707"/>
            <a:gd name="connsiteX4" fmla="*/ 2298368 w 4564723"/>
            <a:gd name="connsiteY4" fmla="*/ 223358 h 2078707"/>
            <a:gd name="connsiteX5" fmla="*/ 2912873 w 4564723"/>
            <a:gd name="connsiteY5" fmla="*/ 1858327 h 2078707"/>
            <a:gd name="connsiteX6" fmla="*/ 3500295 w 4564723"/>
            <a:gd name="connsiteY6" fmla="*/ 717461 h 2078707"/>
            <a:gd name="connsiteX7" fmla="*/ 3980720 w 4564723"/>
            <a:gd name="connsiteY7" fmla="*/ 2078707 h 2078707"/>
            <a:gd name="connsiteX8" fmla="*/ 4557575 w 4564723"/>
            <a:gd name="connsiteY8" fmla="*/ 940855 h 2078707"/>
            <a:gd name="connsiteX9" fmla="*/ 4564723 w 4564723"/>
            <a:gd name="connsiteY9" fmla="*/ 999152 h 2078707"/>
            <a:gd name="connsiteX0" fmla="*/ 0 w 4564723"/>
            <a:gd name="connsiteY0" fmla="*/ 1127676 h 2078707"/>
            <a:gd name="connsiteX1" fmla="*/ 576422 w 4564723"/>
            <a:gd name="connsiteY1" fmla="*/ 242259 h 2078707"/>
            <a:gd name="connsiteX2" fmla="*/ 1155679 w 4564723"/>
            <a:gd name="connsiteY2" fmla="*/ 0 h 2078707"/>
            <a:gd name="connsiteX3" fmla="*/ 1732508 w 4564723"/>
            <a:gd name="connsiteY3" fmla="*/ 1113937 h 2078707"/>
            <a:gd name="connsiteX4" fmla="*/ 2298368 w 4564723"/>
            <a:gd name="connsiteY4" fmla="*/ 223358 h 2078707"/>
            <a:gd name="connsiteX5" fmla="*/ 2912873 w 4564723"/>
            <a:gd name="connsiteY5" fmla="*/ 1858327 h 2078707"/>
            <a:gd name="connsiteX6" fmla="*/ 3500295 w 4564723"/>
            <a:gd name="connsiteY6" fmla="*/ 717461 h 2078707"/>
            <a:gd name="connsiteX7" fmla="*/ 3980720 w 4564723"/>
            <a:gd name="connsiteY7" fmla="*/ 2078707 h 2078707"/>
            <a:gd name="connsiteX8" fmla="*/ 4557575 w 4564723"/>
            <a:gd name="connsiteY8" fmla="*/ 940855 h 2078707"/>
            <a:gd name="connsiteX9" fmla="*/ 4564723 w 4564723"/>
            <a:gd name="connsiteY9" fmla="*/ 999152 h 2078707"/>
            <a:gd name="connsiteX0" fmla="*/ 0 w 4564723"/>
            <a:gd name="connsiteY0" fmla="*/ 904318 h 1855349"/>
            <a:gd name="connsiteX1" fmla="*/ 576422 w 4564723"/>
            <a:gd name="connsiteY1" fmla="*/ 18901 h 1855349"/>
            <a:gd name="connsiteX2" fmla="*/ 1119096 w 4564723"/>
            <a:gd name="connsiteY2" fmla="*/ 1075676 h 1855349"/>
            <a:gd name="connsiteX3" fmla="*/ 1732508 w 4564723"/>
            <a:gd name="connsiteY3" fmla="*/ 890579 h 1855349"/>
            <a:gd name="connsiteX4" fmla="*/ 2298368 w 4564723"/>
            <a:gd name="connsiteY4" fmla="*/ 0 h 1855349"/>
            <a:gd name="connsiteX5" fmla="*/ 2912873 w 4564723"/>
            <a:gd name="connsiteY5" fmla="*/ 1634969 h 1855349"/>
            <a:gd name="connsiteX6" fmla="*/ 3500295 w 4564723"/>
            <a:gd name="connsiteY6" fmla="*/ 494103 h 1855349"/>
            <a:gd name="connsiteX7" fmla="*/ 3980720 w 4564723"/>
            <a:gd name="connsiteY7" fmla="*/ 1855349 h 1855349"/>
            <a:gd name="connsiteX8" fmla="*/ 4557575 w 4564723"/>
            <a:gd name="connsiteY8" fmla="*/ 717497 h 1855349"/>
            <a:gd name="connsiteX9" fmla="*/ 4564723 w 4564723"/>
            <a:gd name="connsiteY9" fmla="*/ 775794 h 1855349"/>
            <a:gd name="connsiteX0" fmla="*/ 0 w 4564723"/>
            <a:gd name="connsiteY0" fmla="*/ 904318 h 1855349"/>
            <a:gd name="connsiteX1" fmla="*/ 576422 w 4564723"/>
            <a:gd name="connsiteY1" fmla="*/ 18901 h 1855349"/>
            <a:gd name="connsiteX2" fmla="*/ 1119096 w 4564723"/>
            <a:gd name="connsiteY2" fmla="*/ 1075676 h 1855349"/>
            <a:gd name="connsiteX3" fmla="*/ 1732508 w 4564723"/>
            <a:gd name="connsiteY3" fmla="*/ 890579 h 1855349"/>
            <a:gd name="connsiteX4" fmla="*/ 2298368 w 4564723"/>
            <a:gd name="connsiteY4" fmla="*/ 0 h 1855349"/>
            <a:gd name="connsiteX5" fmla="*/ 2912873 w 4564723"/>
            <a:gd name="connsiteY5" fmla="*/ 1634969 h 1855349"/>
            <a:gd name="connsiteX6" fmla="*/ 3500295 w 4564723"/>
            <a:gd name="connsiteY6" fmla="*/ 494103 h 1855349"/>
            <a:gd name="connsiteX7" fmla="*/ 3980720 w 4564723"/>
            <a:gd name="connsiteY7" fmla="*/ 1855349 h 1855349"/>
            <a:gd name="connsiteX8" fmla="*/ 4557575 w 4564723"/>
            <a:gd name="connsiteY8" fmla="*/ 717497 h 1855349"/>
            <a:gd name="connsiteX9" fmla="*/ 4564723 w 4564723"/>
            <a:gd name="connsiteY9" fmla="*/ 775794 h 1855349"/>
            <a:gd name="connsiteX0" fmla="*/ 0 w 4564723"/>
            <a:gd name="connsiteY0" fmla="*/ 904318 h 1855349"/>
            <a:gd name="connsiteX1" fmla="*/ 576422 w 4564723"/>
            <a:gd name="connsiteY1" fmla="*/ 18901 h 1855349"/>
            <a:gd name="connsiteX2" fmla="*/ 1119096 w 4564723"/>
            <a:gd name="connsiteY2" fmla="*/ 1075676 h 1855349"/>
            <a:gd name="connsiteX3" fmla="*/ 1732508 w 4564723"/>
            <a:gd name="connsiteY3" fmla="*/ 890579 h 1855349"/>
            <a:gd name="connsiteX4" fmla="*/ 2298368 w 4564723"/>
            <a:gd name="connsiteY4" fmla="*/ 0 h 1855349"/>
            <a:gd name="connsiteX5" fmla="*/ 2912873 w 4564723"/>
            <a:gd name="connsiteY5" fmla="*/ 1634969 h 1855349"/>
            <a:gd name="connsiteX6" fmla="*/ 3500295 w 4564723"/>
            <a:gd name="connsiteY6" fmla="*/ 494103 h 1855349"/>
            <a:gd name="connsiteX7" fmla="*/ 3980720 w 4564723"/>
            <a:gd name="connsiteY7" fmla="*/ 1855349 h 1855349"/>
            <a:gd name="connsiteX8" fmla="*/ 4557575 w 4564723"/>
            <a:gd name="connsiteY8" fmla="*/ 717497 h 1855349"/>
            <a:gd name="connsiteX9" fmla="*/ 4564723 w 4564723"/>
            <a:gd name="connsiteY9" fmla="*/ 775794 h 1855349"/>
            <a:gd name="connsiteX0" fmla="*/ 0 w 4564723"/>
            <a:gd name="connsiteY0" fmla="*/ 904318 h 1855349"/>
            <a:gd name="connsiteX1" fmla="*/ 576422 w 4564723"/>
            <a:gd name="connsiteY1" fmla="*/ 18901 h 1855349"/>
            <a:gd name="connsiteX2" fmla="*/ 1119096 w 4564723"/>
            <a:gd name="connsiteY2" fmla="*/ 1075676 h 1855349"/>
            <a:gd name="connsiteX3" fmla="*/ 1708120 w 4564723"/>
            <a:gd name="connsiteY3" fmla="*/ 498418 h 1855349"/>
            <a:gd name="connsiteX4" fmla="*/ 2298368 w 4564723"/>
            <a:gd name="connsiteY4" fmla="*/ 0 h 1855349"/>
            <a:gd name="connsiteX5" fmla="*/ 2912873 w 4564723"/>
            <a:gd name="connsiteY5" fmla="*/ 1634969 h 1855349"/>
            <a:gd name="connsiteX6" fmla="*/ 3500295 w 4564723"/>
            <a:gd name="connsiteY6" fmla="*/ 494103 h 1855349"/>
            <a:gd name="connsiteX7" fmla="*/ 3980720 w 4564723"/>
            <a:gd name="connsiteY7" fmla="*/ 1855349 h 1855349"/>
            <a:gd name="connsiteX8" fmla="*/ 4557575 w 4564723"/>
            <a:gd name="connsiteY8" fmla="*/ 717497 h 1855349"/>
            <a:gd name="connsiteX9" fmla="*/ 4564723 w 4564723"/>
            <a:gd name="connsiteY9" fmla="*/ 775794 h 1855349"/>
            <a:gd name="connsiteX0" fmla="*/ 0 w 4564723"/>
            <a:gd name="connsiteY0" fmla="*/ 904318 h 1855349"/>
            <a:gd name="connsiteX1" fmla="*/ 576422 w 4564723"/>
            <a:gd name="connsiteY1" fmla="*/ 18901 h 1855349"/>
            <a:gd name="connsiteX2" fmla="*/ 1119096 w 4564723"/>
            <a:gd name="connsiteY2" fmla="*/ 1075676 h 1855349"/>
            <a:gd name="connsiteX3" fmla="*/ 1708120 w 4564723"/>
            <a:gd name="connsiteY3" fmla="*/ 498418 h 1855349"/>
            <a:gd name="connsiteX4" fmla="*/ 2298368 w 4564723"/>
            <a:gd name="connsiteY4" fmla="*/ 0 h 1855349"/>
            <a:gd name="connsiteX5" fmla="*/ 2912873 w 4564723"/>
            <a:gd name="connsiteY5" fmla="*/ 1634969 h 1855349"/>
            <a:gd name="connsiteX6" fmla="*/ 3500295 w 4564723"/>
            <a:gd name="connsiteY6" fmla="*/ 494103 h 1855349"/>
            <a:gd name="connsiteX7" fmla="*/ 3980720 w 4564723"/>
            <a:gd name="connsiteY7" fmla="*/ 1855349 h 1855349"/>
            <a:gd name="connsiteX8" fmla="*/ 4557575 w 4564723"/>
            <a:gd name="connsiteY8" fmla="*/ 717497 h 1855349"/>
            <a:gd name="connsiteX9" fmla="*/ 4564723 w 4564723"/>
            <a:gd name="connsiteY9" fmla="*/ 775794 h 1855349"/>
            <a:gd name="connsiteX0" fmla="*/ 0 w 4564723"/>
            <a:gd name="connsiteY0" fmla="*/ 904318 h 1855349"/>
            <a:gd name="connsiteX1" fmla="*/ 576422 w 4564723"/>
            <a:gd name="connsiteY1" fmla="*/ 18901 h 1855349"/>
            <a:gd name="connsiteX2" fmla="*/ 1119096 w 4564723"/>
            <a:gd name="connsiteY2" fmla="*/ 1075676 h 1855349"/>
            <a:gd name="connsiteX3" fmla="*/ 1708120 w 4564723"/>
            <a:gd name="connsiteY3" fmla="*/ 498418 h 1855349"/>
            <a:gd name="connsiteX4" fmla="*/ 2298368 w 4564723"/>
            <a:gd name="connsiteY4" fmla="*/ 0 h 1855349"/>
            <a:gd name="connsiteX5" fmla="*/ 2912873 w 4564723"/>
            <a:gd name="connsiteY5" fmla="*/ 1634969 h 1855349"/>
            <a:gd name="connsiteX6" fmla="*/ 3500295 w 4564723"/>
            <a:gd name="connsiteY6" fmla="*/ 494103 h 1855349"/>
            <a:gd name="connsiteX7" fmla="*/ 3980720 w 4564723"/>
            <a:gd name="connsiteY7" fmla="*/ 1855349 h 1855349"/>
            <a:gd name="connsiteX8" fmla="*/ 4557575 w 4564723"/>
            <a:gd name="connsiteY8" fmla="*/ 717497 h 1855349"/>
            <a:gd name="connsiteX9" fmla="*/ 4564723 w 4564723"/>
            <a:gd name="connsiteY9" fmla="*/ 775794 h 1855349"/>
            <a:gd name="connsiteX0" fmla="*/ 0 w 4564723"/>
            <a:gd name="connsiteY0" fmla="*/ 885417 h 1836448"/>
            <a:gd name="connsiteX1" fmla="*/ 576422 w 4564723"/>
            <a:gd name="connsiteY1" fmla="*/ 0 h 1836448"/>
            <a:gd name="connsiteX2" fmla="*/ 1119096 w 4564723"/>
            <a:gd name="connsiteY2" fmla="*/ 1056775 h 1836448"/>
            <a:gd name="connsiteX3" fmla="*/ 1708120 w 4564723"/>
            <a:gd name="connsiteY3" fmla="*/ 479517 h 1836448"/>
            <a:gd name="connsiteX4" fmla="*/ 2334952 w 4564723"/>
            <a:gd name="connsiteY4" fmla="*/ 1782589 h 1836448"/>
            <a:gd name="connsiteX5" fmla="*/ 2912873 w 4564723"/>
            <a:gd name="connsiteY5" fmla="*/ 1616068 h 1836448"/>
            <a:gd name="connsiteX6" fmla="*/ 3500295 w 4564723"/>
            <a:gd name="connsiteY6" fmla="*/ 475202 h 1836448"/>
            <a:gd name="connsiteX7" fmla="*/ 3980720 w 4564723"/>
            <a:gd name="connsiteY7" fmla="*/ 1836448 h 1836448"/>
            <a:gd name="connsiteX8" fmla="*/ 4557575 w 4564723"/>
            <a:gd name="connsiteY8" fmla="*/ 698596 h 1836448"/>
            <a:gd name="connsiteX9" fmla="*/ 4564723 w 4564723"/>
            <a:gd name="connsiteY9" fmla="*/ 756893 h 1836448"/>
            <a:gd name="connsiteX0" fmla="*/ 0 w 4564723"/>
            <a:gd name="connsiteY0" fmla="*/ 885417 h 1836448"/>
            <a:gd name="connsiteX1" fmla="*/ 576422 w 4564723"/>
            <a:gd name="connsiteY1" fmla="*/ 0 h 1836448"/>
            <a:gd name="connsiteX2" fmla="*/ 1119096 w 4564723"/>
            <a:gd name="connsiteY2" fmla="*/ 1056775 h 1836448"/>
            <a:gd name="connsiteX3" fmla="*/ 1708120 w 4564723"/>
            <a:gd name="connsiteY3" fmla="*/ 479517 h 1836448"/>
            <a:gd name="connsiteX4" fmla="*/ 2334952 w 4564723"/>
            <a:gd name="connsiteY4" fmla="*/ 1782589 h 1836448"/>
            <a:gd name="connsiteX5" fmla="*/ 2912873 w 4564723"/>
            <a:gd name="connsiteY5" fmla="*/ 1616068 h 1836448"/>
            <a:gd name="connsiteX6" fmla="*/ 3500295 w 4564723"/>
            <a:gd name="connsiteY6" fmla="*/ 475202 h 1836448"/>
            <a:gd name="connsiteX7" fmla="*/ 3980720 w 4564723"/>
            <a:gd name="connsiteY7" fmla="*/ 1836448 h 1836448"/>
            <a:gd name="connsiteX8" fmla="*/ 4557575 w 4564723"/>
            <a:gd name="connsiteY8" fmla="*/ 698596 h 1836448"/>
            <a:gd name="connsiteX9" fmla="*/ 4564723 w 4564723"/>
            <a:gd name="connsiteY9" fmla="*/ 756893 h 1836448"/>
            <a:gd name="connsiteX0" fmla="*/ 0 w 4564723"/>
            <a:gd name="connsiteY0" fmla="*/ 885417 h 1836448"/>
            <a:gd name="connsiteX1" fmla="*/ 576422 w 4564723"/>
            <a:gd name="connsiteY1" fmla="*/ 0 h 1836448"/>
            <a:gd name="connsiteX2" fmla="*/ 1119096 w 4564723"/>
            <a:gd name="connsiteY2" fmla="*/ 1056775 h 1836448"/>
            <a:gd name="connsiteX3" fmla="*/ 1708120 w 4564723"/>
            <a:gd name="connsiteY3" fmla="*/ 479517 h 1836448"/>
            <a:gd name="connsiteX4" fmla="*/ 2334952 w 4564723"/>
            <a:gd name="connsiteY4" fmla="*/ 1782589 h 1836448"/>
            <a:gd name="connsiteX5" fmla="*/ 2912873 w 4564723"/>
            <a:gd name="connsiteY5" fmla="*/ 1616068 h 1836448"/>
            <a:gd name="connsiteX6" fmla="*/ 3500295 w 4564723"/>
            <a:gd name="connsiteY6" fmla="*/ 475202 h 1836448"/>
            <a:gd name="connsiteX7" fmla="*/ 3980720 w 4564723"/>
            <a:gd name="connsiteY7" fmla="*/ 1836448 h 1836448"/>
            <a:gd name="connsiteX8" fmla="*/ 4557575 w 4564723"/>
            <a:gd name="connsiteY8" fmla="*/ 698596 h 1836448"/>
            <a:gd name="connsiteX9" fmla="*/ 4564723 w 4564723"/>
            <a:gd name="connsiteY9" fmla="*/ 756893 h 1836448"/>
            <a:gd name="connsiteX0" fmla="*/ 0 w 4564723"/>
            <a:gd name="connsiteY0" fmla="*/ 885417 h 1836448"/>
            <a:gd name="connsiteX1" fmla="*/ 576422 w 4564723"/>
            <a:gd name="connsiteY1" fmla="*/ 0 h 1836448"/>
            <a:gd name="connsiteX2" fmla="*/ 1119096 w 4564723"/>
            <a:gd name="connsiteY2" fmla="*/ 1056775 h 1836448"/>
            <a:gd name="connsiteX3" fmla="*/ 1708120 w 4564723"/>
            <a:gd name="connsiteY3" fmla="*/ 479517 h 1836448"/>
            <a:gd name="connsiteX4" fmla="*/ 2334952 w 4564723"/>
            <a:gd name="connsiteY4" fmla="*/ 1782589 h 1836448"/>
            <a:gd name="connsiteX5" fmla="*/ 2851902 w 4564723"/>
            <a:gd name="connsiteY5" fmla="*/ 218995 h 1836448"/>
            <a:gd name="connsiteX6" fmla="*/ 3500295 w 4564723"/>
            <a:gd name="connsiteY6" fmla="*/ 475202 h 1836448"/>
            <a:gd name="connsiteX7" fmla="*/ 3980720 w 4564723"/>
            <a:gd name="connsiteY7" fmla="*/ 1836448 h 1836448"/>
            <a:gd name="connsiteX8" fmla="*/ 4557575 w 4564723"/>
            <a:gd name="connsiteY8" fmla="*/ 698596 h 1836448"/>
            <a:gd name="connsiteX9" fmla="*/ 4564723 w 4564723"/>
            <a:gd name="connsiteY9" fmla="*/ 756893 h 1836448"/>
            <a:gd name="connsiteX0" fmla="*/ 0 w 4564723"/>
            <a:gd name="connsiteY0" fmla="*/ 885417 h 1836448"/>
            <a:gd name="connsiteX1" fmla="*/ 576422 w 4564723"/>
            <a:gd name="connsiteY1" fmla="*/ 0 h 1836448"/>
            <a:gd name="connsiteX2" fmla="*/ 1119096 w 4564723"/>
            <a:gd name="connsiteY2" fmla="*/ 1056775 h 1836448"/>
            <a:gd name="connsiteX3" fmla="*/ 1708120 w 4564723"/>
            <a:gd name="connsiteY3" fmla="*/ 479517 h 1836448"/>
            <a:gd name="connsiteX4" fmla="*/ 2334952 w 4564723"/>
            <a:gd name="connsiteY4" fmla="*/ 1782589 h 1836448"/>
            <a:gd name="connsiteX5" fmla="*/ 2851902 w 4564723"/>
            <a:gd name="connsiteY5" fmla="*/ 218995 h 1836448"/>
            <a:gd name="connsiteX6" fmla="*/ 3500295 w 4564723"/>
            <a:gd name="connsiteY6" fmla="*/ 475202 h 1836448"/>
            <a:gd name="connsiteX7" fmla="*/ 3980720 w 4564723"/>
            <a:gd name="connsiteY7" fmla="*/ 1836448 h 1836448"/>
            <a:gd name="connsiteX8" fmla="*/ 4557575 w 4564723"/>
            <a:gd name="connsiteY8" fmla="*/ 698596 h 1836448"/>
            <a:gd name="connsiteX9" fmla="*/ 4564723 w 4564723"/>
            <a:gd name="connsiteY9" fmla="*/ 756893 h 1836448"/>
            <a:gd name="connsiteX0" fmla="*/ 0 w 4564723"/>
            <a:gd name="connsiteY0" fmla="*/ 885417 h 1836448"/>
            <a:gd name="connsiteX1" fmla="*/ 576422 w 4564723"/>
            <a:gd name="connsiteY1" fmla="*/ 0 h 1836448"/>
            <a:gd name="connsiteX2" fmla="*/ 1119096 w 4564723"/>
            <a:gd name="connsiteY2" fmla="*/ 1056775 h 1836448"/>
            <a:gd name="connsiteX3" fmla="*/ 1708120 w 4564723"/>
            <a:gd name="connsiteY3" fmla="*/ 479517 h 1836448"/>
            <a:gd name="connsiteX4" fmla="*/ 2334952 w 4564723"/>
            <a:gd name="connsiteY4" fmla="*/ 1782589 h 1836448"/>
            <a:gd name="connsiteX5" fmla="*/ 2851902 w 4564723"/>
            <a:gd name="connsiteY5" fmla="*/ 218995 h 1836448"/>
            <a:gd name="connsiteX6" fmla="*/ 3500295 w 4564723"/>
            <a:gd name="connsiteY6" fmla="*/ 475202 h 1836448"/>
            <a:gd name="connsiteX7" fmla="*/ 3980720 w 4564723"/>
            <a:gd name="connsiteY7" fmla="*/ 1836448 h 1836448"/>
            <a:gd name="connsiteX8" fmla="*/ 4557575 w 4564723"/>
            <a:gd name="connsiteY8" fmla="*/ 698596 h 1836448"/>
            <a:gd name="connsiteX9" fmla="*/ 4564723 w 4564723"/>
            <a:gd name="connsiteY9" fmla="*/ 756893 h 1836448"/>
            <a:gd name="connsiteX0" fmla="*/ 0 w 4564723"/>
            <a:gd name="connsiteY0" fmla="*/ 885417 h 1836448"/>
            <a:gd name="connsiteX1" fmla="*/ 576422 w 4564723"/>
            <a:gd name="connsiteY1" fmla="*/ 0 h 1836448"/>
            <a:gd name="connsiteX2" fmla="*/ 1119096 w 4564723"/>
            <a:gd name="connsiteY2" fmla="*/ 1056775 h 1836448"/>
            <a:gd name="connsiteX3" fmla="*/ 1708120 w 4564723"/>
            <a:gd name="connsiteY3" fmla="*/ 479517 h 1836448"/>
            <a:gd name="connsiteX4" fmla="*/ 2334952 w 4564723"/>
            <a:gd name="connsiteY4" fmla="*/ 1782589 h 1836448"/>
            <a:gd name="connsiteX5" fmla="*/ 2851902 w 4564723"/>
            <a:gd name="connsiteY5" fmla="*/ 218995 h 1836448"/>
            <a:gd name="connsiteX6" fmla="*/ 3414935 w 4564723"/>
            <a:gd name="connsiteY6" fmla="*/ 720303 h 1836448"/>
            <a:gd name="connsiteX7" fmla="*/ 3980720 w 4564723"/>
            <a:gd name="connsiteY7" fmla="*/ 1836448 h 1836448"/>
            <a:gd name="connsiteX8" fmla="*/ 4557575 w 4564723"/>
            <a:gd name="connsiteY8" fmla="*/ 698596 h 1836448"/>
            <a:gd name="connsiteX9" fmla="*/ 4564723 w 4564723"/>
            <a:gd name="connsiteY9" fmla="*/ 756893 h 1836448"/>
            <a:gd name="connsiteX0" fmla="*/ 0 w 4564723"/>
            <a:gd name="connsiteY0" fmla="*/ 885417 h 1782589"/>
            <a:gd name="connsiteX1" fmla="*/ 576422 w 4564723"/>
            <a:gd name="connsiteY1" fmla="*/ 0 h 1782589"/>
            <a:gd name="connsiteX2" fmla="*/ 1119096 w 4564723"/>
            <a:gd name="connsiteY2" fmla="*/ 1056775 h 1782589"/>
            <a:gd name="connsiteX3" fmla="*/ 1708120 w 4564723"/>
            <a:gd name="connsiteY3" fmla="*/ 479517 h 1782589"/>
            <a:gd name="connsiteX4" fmla="*/ 2334952 w 4564723"/>
            <a:gd name="connsiteY4" fmla="*/ 1782589 h 1782589"/>
            <a:gd name="connsiteX5" fmla="*/ 2851902 w 4564723"/>
            <a:gd name="connsiteY5" fmla="*/ 218995 h 1782589"/>
            <a:gd name="connsiteX6" fmla="*/ 3414935 w 4564723"/>
            <a:gd name="connsiteY6" fmla="*/ 720303 h 1782589"/>
            <a:gd name="connsiteX7" fmla="*/ 4005109 w 4564723"/>
            <a:gd name="connsiteY7" fmla="*/ 1432032 h 1782589"/>
            <a:gd name="connsiteX8" fmla="*/ 4557575 w 4564723"/>
            <a:gd name="connsiteY8" fmla="*/ 698596 h 1782589"/>
            <a:gd name="connsiteX9" fmla="*/ 4564723 w 4564723"/>
            <a:gd name="connsiteY9" fmla="*/ 756893 h 1782589"/>
            <a:gd name="connsiteX0" fmla="*/ 0 w 4564723"/>
            <a:gd name="connsiteY0" fmla="*/ 1035396 h 1932568"/>
            <a:gd name="connsiteX1" fmla="*/ 576422 w 4564723"/>
            <a:gd name="connsiteY1" fmla="*/ 149979 h 1932568"/>
            <a:gd name="connsiteX2" fmla="*/ 1119096 w 4564723"/>
            <a:gd name="connsiteY2" fmla="*/ 1206754 h 1932568"/>
            <a:gd name="connsiteX3" fmla="*/ 1708120 w 4564723"/>
            <a:gd name="connsiteY3" fmla="*/ 629496 h 1932568"/>
            <a:gd name="connsiteX4" fmla="*/ 2334952 w 4564723"/>
            <a:gd name="connsiteY4" fmla="*/ 1932568 h 1932568"/>
            <a:gd name="connsiteX5" fmla="*/ 2851902 w 4564723"/>
            <a:gd name="connsiteY5" fmla="*/ 368974 h 1932568"/>
            <a:gd name="connsiteX6" fmla="*/ 3414935 w 4564723"/>
            <a:gd name="connsiteY6" fmla="*/ 870282 h 1932568"/>
            <a:gd name="connsiteX7" fmla="*/ 4005109 w 4564723"/>
            <a:gd name="connsiteY7" fmla="*/ 1582011 h 1932568"/>
            <a:gd name="connsiteX8" fmla="*/ 4557575 w 4564723"/>
            <a:gd name="connsiteY8" fmla="*/ 848575 h 1932568"/>
            <a:gd name="connsiteX9" fmla="*/ 4564723 w 4564723"/>
            <a:gd name="connsiteY9" fmla="*/ 0 h 1932568"/>
            <a:gd name="connsiteX0" fmla="*/ 0 w 4564723"/>
            <a:gd name="connsiteY0" fmla="*/ 1035396 h 1932568"/>
            <a:gd name="connsiteX1" fmla="*/ 576422 w 4564723"/>
            <a:gd name="connsiteY1" fmla="*/ 149979 h 1932568"/>
            <a:gd name="connsiteX2" fmla="*/ 1119096 w 4564723"/>
            <a:gd name="connsiteY2" fmla="*/ 1206754 h 1932568"/>
            <a:gd name="connsiteX3" fmla="*/ 1708120 w 4564723"/>
            <a:gd name="connsiteY3" fmla="*/ 629496 h 1932568"/>
            <a:gd name="connsiteX4" fmla="*/ 2334952 w 4564723"/>
            <a:gd name="connsiteY4" fmla="*/ 1932568 h 1932568"/>
            <a:gd name="connsiteX5" fmla="*/ 2851902 w 4564723"/>
            <a:gd name="connsiteY5" fmla="*/ 368974 h 1932568"/>
            <a:gd name="connsiteX6" fmla="*/ 3414935 w 4564723"/>
            <a:gd name="connsiteY6" fmla="*/ 870282 h 1932568"/>
            <a:gd name="connsiteX7" fmla="*/ 4005109 w 4564723"/>
            <a:gd name="connsiteY7" fmla="*/ 1582011 h 1932568"/>
            <a:gd name="connsiteX8" fmla="*/ 4520993 w 4564723"/>
            <a:gd name="connsiteY8" fmla="*/ 186804 h 1932568"/>
            <a:gd name="connsiteX9" fmla="*/ 4564723 w 4564723"/>
            <a:gd name="connsiteY9" fmla="*/ 0 h 1932568"/>
            <a:gd name="connsiteX0" fmla="*/ 0 w 4564723"/>
            <a:gd name="connsiteY0" fmla="*/ 1035396 h 1932568"/>
            <a:gd name="connsiteX1" fmla="*/ 576422 w 4564723"/>
            <a:gd name="connsiteY1" fmla="*/ 149979 h 1932568"/>
            <a:gd name="connsiteX2" fmla="*/ 1119096 w 4564723"/>
            <a:gd name="connsiteY2" fmla="*/ 1206754 h 1932568"/>
            <a:gd name="connsiteX3" fmla="*/ 1708120 w 4564723"/>
            <a:gd name="connsiteY3" fmla="*/ 629496 h 1932568"/>
            <a:gd name="connsiteX4" fmla="*/ 2334952 w 4564723"/>
            <a:gd name="connsiteY4" fmla="*/ 1932568 h 1932568"/>
            <a:gd name="connsiteX5" fmla="*/ 2851902 w 4564723"/>
            <a:gd name="connsiteY5" fmla="*/ 368974 h 1932568"/>
            <a:gd name="connsiteX6" fmla="*/ 3414935 w 4564723"/>
            <a:gd name="connsiteY6" fmla="*/ 870282 h 1932568"/>
            <a:gd name="connsiteX7" fmla="*/ 4005109 w 4564723"/>
            <a:gd name="connsiteY7" fmla="*/ 1582011 h 1932568"/>
            <a:gd name="connsiteX8" fmla="*/ 4520993 w 4564723"/>
            <a:gd name="connsiteY8" fmla="*/ 186804 h 1932568"/>
            <a:gd name="connsiteX9" fmla="*/ 4564723 w 4564723"/>
            <a:gd name="connsiteY9" fmla="*/ 0 h 1932568"/>
            <a:gd name="connsiteX0" fmla="*/ 0 w 4564723"/>
            <a:gd name="connsiteY0" fmla="*/ 1081686 h 1978858"/>
            <a:gd name="connsiteX1" fmla="*/ 576422 w 4564723"/>
            <a:gd name="connsiteY1" fmla="*/ 196269 h 1978858"/>
            <a:gd name="connsiteX2" fmla="*/ 1119096 w 4564723"/>
            <a:gd name="connsiteY2" fmla="*/ 1253044 h 1978858"/>
            <a:gd name="connsiteX3" fmla="*/ 1708120 w 4564723"/>
            <a:gd name="connsiteY3" fmla="*/ 675786 h 1978858"/>
            <a:gd name="connsiteX4" fmla="*/ 2334952 w 4564723"/>
            <a:gd name="connsiteY4" fmla="*/ 1978858 h 1978858"/>
            <a:gd name="connsiteX5" fmla="*/ 2851902 w 4564723"/>
            <a:gd name="connsiteY5" fmla="*/ 415264 h 1978858"/>
            <a:gd name="connsiteX6" fmla="*/ 3414935 w 4564723"/>
            <a:gd name="connsiteY6" fmla="*/ 916572 h 1978858"/>
            <a:gd name="connsiteX7" fmla="*/ 4005109 w 4564723"/>
            <a:gd name="connsiteY7" fmla="*/ 1628301 h 1978858"/>
            <a:gd name="connsiteX8" fmla="*/ 4496605 w 4564723"/>
            <a:gd name="connsiteY8" fmla="*/ 12504 h 1978858"/>
            <a:gd name="connsiteX9" fmla="*/ 4564723 w 4564723"/>
            <a:gd name="connsiteY9" fmla="*/ 46290 h 1978858"/>
            <a:gd name="connsiteX0" fmla="*/ 0 w 4564723"/>
            <a:gd name="connsiteY0" fmla="*/ 1122880 h 2020052"/>
            <a:gd name="connsiteX1" fmla="*/ 576422 w 4564723"/>
            <a:gd name="connsiteY1" fmla="*/ 237463 h 2020052"/>
            <a:gd name="connsiteX2" fmla="*/ 1119096 w 4564723"/>
            <a:gd name="connsiteY2" fmla="*/ 1294238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576422 w 4564723"/>
            <a:gd name="connsiteY1" fmla="*/ 237463 h 2020052"/>
            <a:gd name="connsiteX2" fmla="*/ 1399565 w 4564723"/>
            <a:gd name="connsiteY2" fmla="*/ 1625122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576422 w 4564723"/>
            <a:gd name="connsiteY1" fmla="*/ 237463 h 2020052"/>
            <a:gd name="connsiteX2" fmla="*/ 1399565 w 4564723"/>
            <a:gd name="connsiteY2" fmla="*/ 1625122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576422 w 4564723"/>
            <a:gd name="connsiteY1" fmla="*/ 237463 h 2020052"/>
            <a:gd name="connsiteX2" fmla="*/ 1399565 w 4564723"/>
            <a:gd name="connsiteY2" fmla="*/ 1625122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576422 w 4564723"/>
            <a:gd name="connsiteY1" fmla="*/ 237463 h 2020052"/>
            <a:gd name="connsiteX2" fmla="*/ 1399565 w 4564723"/>
            <a:gd name="connsiteY2" fmla="*/ 1625122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576422 w 4564723"/>
            <a:gd name="connsiteY1" fmla="*/ 237463 h 2020052"/>
            <a:gd name="connsiteX2" fmla="*/ 1119096 w 4564723"/>
            <a:gd name="connsiteY2" fmla="*/ 1416787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576422 w 4564723"/>
            <a:gd name="connsiteY1" fmla="*/ 237463 h 2020052"/>
            <a:gd name="connsiteX2" fmla="*/ 1155679 w 4564723"/>
            <a:gd name="connsiteY2" fmla="*/ 338345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576422 w 4564723"/>
            <a:gd name="connsiteY1" fmla="*/ 237463 h 2020052"/>
            <a:gd name="connsiteX2" fmla="*/ 521577 w 4564723"/>
            <a:gd name="connsiteY2" fmla="*/ 215794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1039803 w 4564723"/>
            <a:gd name="connsiteY1" fmla="*/ 948255 h 2020052"/>
            <a:gd name="connsiteX2" fmla="*/ 521577 w 4564723"/>
            <a:gd name="connsiteY2" fmla="*/ 215794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1039803 w 4564723"/>
            <a:gd name="connsiteY1" fmla="*/ 948255 h 2020052"/>
            <a:gd name="connsiteX2" fmla="*/ 521577 w 4564723"/>
            <a:gd name="connsiteY2" fmla="*/ 215794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122880 h 2020052"/>
            <a:gd name="connsiteX1" fmla="*/ 1039803 w 4564723"/>
            <a:gd name="connsiteY1" fmla="*/ 948255 h 2020052"/>
            <a:gd name="connsiteX2" fmla="*/ 521577 w 4564723"/>
            <a:gd name="connsiteY2" fmla="*/ 215794 h 2020052"/>
            <a:gd name="connsiteX3" fmla="*/ 1708120 w 4564723"/>
            <a:gd name="connsiteY3" fmla="*/ 716980 h 2020052"/>
            <a:gd name="connsiteX4" fmla="*/ 2334952 w 4564723"/>
            <a:gd name="connsiteY4" fmla="*/ 2020052 h 2020052"/>
            <a:gd name="connsiteX5" fmla="*/ 2851902 w 4564723"/>
            <a:gd name="connsiteY5" fmla="*/ 456458 h 2020052"/>
            <a:gd name="connsiteX6" fmla="*/ 3414935 w 4564723"/>
            <a:gd name="connsiteY6" fmla="*/ 957766 h 2020052"/>
            <a:gd name="connsiteX7" fmla="*/ 4005109 w 4564723"/>
            <a:gd name="connsiteY7" fmla="*/ 1669495 h 2020052"/>
            <a:gd name="connsiteX8" fmla="*/ 4496605 w 4564723"/>
            <a:gd name="connsiteY8" fmla="*/ 53698 h 2020052"/>
            <a:gd name="connsiteX9" fmla="*/ 4564723 w 4564723"/>
            <a:gd name="connsiteY9" fmla="*/ 87484 h 2020052"/>
            <a:gd name="connsiteX0" fmla="*/ 0 w 4564723"/>
            <a:gd name="connsiteY0" fmla="*/ 1217040 h 2114212"/>
            <a:gd name="connsiteX1" fmla="*/ 531353 w 4564723"/>
            <a:gd name="connsiteY1" fmla="*/ 325840 h 2114212"/>
            <a:gd name="connsiteX2" fmla="*/ 521577 w 4564723"/>
            <a:gd name="connsiteY2" fmla="*/ 309954 h 2114212"/>
            <a:gd name="connsiteX3" fmla="*/ 1708120 w 4564723"/>
            <a:gd name="connsiteY3" fmla="*/ 811140 h 2114212"/>
            <a:gd name="connsiteX4" fmla="*/ 2334952 w 4564723"/>
            <a:gd name="connsiteY4" fmla="*/ 2114212 h 2114212"/>
            <a:gd name="connsiteX5" fmla="*/ 2851902 w 4564723"/>
            <a:gd name="connsiteY5" fmla="*/ 550618 h 2114212"/>
            <a:gd name="connsiteX6" fmla="*/ 3414935 w 4564723"/>
            <a:gd name="connsiteY6" fmla="*/ 1051926 h 2114212"/>
            <a:gd name="connsiteX7" fmla="*/ 4005109 w 4564723"/>
            <a:gd name="connsiteY7" fmla="*/ 1763655 h 2114212"/>
            <a:gd name="connsiteX8" fmla="*/ 4496605 w 4564723"/>
            <a:gd name="connsiteY8" fmla="*/ 147858 h 2114212"/>
            <a:gd name="connsiteX9" fmla="*/ 4564723 w 4564723"/>
            <a:gd name="connsiteY9" fmla="*/ 181644 h 2114212"/>
            <a:gd name="connsiteX0" fmla="*/ 0 w 4564723"/>
            <a:gd name="connsiteY0" fmla="*/ 1122881 h 2020053"/>
            <a:gd name="connsiteX1" fmla="*/ 531353 w 4564723"/>
            <a:gd name="connsiteY1" fmla="*/ 231681 h 2020053"/>
            <a:gd name="connsiteX2" fmla="*/ 521577 w 4564723"/>
            <a:gd name="connsiteY2" fmla="*/ 215795 h 2020053"/>
            <a:gd name="connsiteX3" fmla="*/ 1708120 w 4564723"/>
            <a:gd name="connsiteY3" fmla="*/ 71698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31353 w 4564723"/>
            <a:gd name="connsiteY1" fmla="*/ 231681 h 2020053"/>
            <a:gd name="connsiteX2" fmla="*/ 547877 w 4564723"/>
            <a:gd name="connsiteY2" fmla="*/ 215795 h 2020053"/>
            <a:gd name="connsiteX3" fmla="*/ 1708120 w 4564723"/>
            <a:gd name="connsiteY3" fmla="*/ 71698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31353 w 4564723"/>
            <a:gd name="connsiteY1" fmla="*/ 231681 h 2020053"/>
            <a:gd name="connsiteX2" fmla="*/ 767036 w 4564723"/>
            <a:gd name="connsiteY2" fmla="*/ 54565 h 2020053"/>
            <a:gd name="connsiteX3" fmla="*/ 1708120 w 4564723"/>
            <a:gd name="connsiteY3" fmla="*/ 71698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697914 w 4564723"/>
            <a:gd name="connsiteY1" fmla="*/ 61495 h 2020053"/>
            <a:gd name="connsiteX2" fmla="*/ 767036 w 4564723"/>
            <a:gd name="connsiteY2" fmla="*/ 54565 h 2020053"/>
            <a:gd name="connsiteX3" fmla="*/ 1708120 w 4564723"/>
            <a:gd name="connsiteY3" fmla="*/ 71698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767036 w 4564723"/>
            <a:gd name="connsiteY2" fmla="*/ 54565 h 2020053"/>
            <a:gd name="connsiteX3" fmla="*/ 1708120 w 4564723"/>
            <a:gd name="connsiteY3" fmla="*/ 71698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565409 w 4564723"/>
            <a:gd name="connsiteY2" fmla="*/ 206837 h 2020053"/>
            <a:gd name="connsiteX3" fmla="*/ 1708120 w 4564723"/>
            <a:gd name="connsiteY3" fmla="*/ 71698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708120 w 4564723"/>
            <a:gd name="connsiteY3" fmla="*/ 71698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234736 w 4564723"/>
            <a:gd name="connsiteY3" fmla="*/ 145147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190904 w 4564723"/>
            <a:gd name="connsiteY3" fmla="*/ 145147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155839 w 4564723"/>
            <a:gd name="connsiteY3" fmla="*/ 145147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155839 w 4564723"/>
            <a:gd name="connsiteY3" fmla="*/ 1541043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155839 w 4564723"/>
            <a:gd name="connsiteY3" fmla="*/ 1541043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147072 w 4564723"/>
            <a:gd name="connsiteY3" fmla="*/ 145147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173371 w 4564723"/>
            <a:gd name="connsiteY3" fmla="*/ 1809759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618007 w 4564723"/>
            <a:gd name="connsiteY2" fmla="*/ 233708 h 2020053"/>
            <a:gd name="connsiteX3" fmla="*/ 1173371 w 4564723"/>
            <a:gd name="connsiteY3" fmla="*/ 1854545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1143990 w 4564723"/>
            <a:gd name="connsiteY2" fmla="*/ 1380230 h 2020053"/>
            <a:gd name="connsiteX3" fmla="*/ 1173371 w 4564723"/>
            <a:gd name="connsiteY3" fmla="*/ 1854545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1143990 w 4564723"/>
            <a:gd name="connsiteY2" fmla="*/ 1380230 h 2020053"/>
            <a:gd name="connsiteX3" fmla="*/ 1173371 w 4564723"/>
            <a:gd name="connsiteY3" fmla="*/ 1854545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1143990 w 4564723"/>
            <a:gd name="connsiteY2" fmla="*/ 1380230 h 2020053"/>
            <a:gd name="connsiteX3" fmla="*/ 1173371 w 4564723"/>
            <a:gd name="connsiteY3" fmla="*/ 1854545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1143990 w 4564723"/>
            <a:gd name="connsiteY2" fmla="*/ 1380230 h 2020053"/>
            <a:gd name="connsiteX3" fmla="*/ 1138306 w 4564723"/>
            <a:gd name="connsiteY3" fmla="*/ 1442513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1143990 w 4564723"/>
            <a:gd name="connsiteY2" fmla="*/ 1380230 h 2020053"/>
            <a:gd name="connsiteX3" fmla="*/ 1155839 w 4564723"/>
            <a:gd name="connsiteY3" fmla="*/ 1415641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1143990 w 4564723"/>
            <a:gd name="connsiteY2" fmla="*/ 1380230 h 2020053"/>
            <a:gd name="connsiteX3" fmla="*/ 1155839 w 4564723"/>
            <a:gd name="connsiteY3" fmla="*/ 1881416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1143990 w 4564723"/>
            <a:gd name="connsiteY2" fmla="*/ 1380230 h 2020053"/>
            <a:gd name="connsiteX3" fmla="*/ 1120774 w 4564723"/>
            <a:gd name="connsiteY3" fmla="*/ 1379813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20053"/>
            <a:gd name="connsiteX1" fmla="*/ 583951 w 4564723"/>
            <a:gd name="connsiteY1" fmla="*/ 222725 h 2020053"/>
            <a:gd name="connsiteX2" fmla="*/ 1143990 w 4564723"/>
            <a:gd name="connsiteY2" fmla="*/ 1380230 h 2020053"/>
            <a:gd name="connsiteX3" fmla="*/ 1269802 w 4564723"/>
            <a:gd name="connsiteY3" fmla="*/ 1164840 h 2020053"/>
            <a:gd name="connsiteX4" fmla="*/ 2334952 w 4564723"/>
            <a:gd name="connsiteY4" fmla="*/ 2020053 h 2020053"/>
            <a:gd name="connsiteX5" fmla="*/ 2851902 w 4564723"/>
            <a:gd name="connsiteY5" fmla="*/ 456459 h 2020053"/>
            <a:gd name="connsiteX6" fmla="*/ 3414935 w 4564723"/>
            <a:gd name="connsiteY6" fmla="*/ 957767 h 2020053"/>
            <a:gd name="connsiteX7" fmla="*/ 4005109 w 4564723"/>
            <a:gd name="connsiteY7" fmla="*/ 1669496 h 2020053"/>
            <a:gd name="connsiteX8" fmla="*/ 4496605 w 4564723"/>
            <a:gd name="connsiteY8" fmla="*/ 53699 h 2020053"/>
            <a:gd name="connsiteX9" fmla="*/ 4564723 w 4564723"/>
            <a:gd name="connsiteY9" fmla="*/ 87485 h 2020053"/>
            <a:gd name="connsiteX0" fmla="*/ 0 w 4564723"/>
            <a:gd name="connsiteY0" fmla="*/ 1122881 h 2043063"/>
            <a:gd name="connsiteX1" fmla="*/ 583951 w 4564723"/>
            <a:gd name="connsiteY1" fmla="*/ 222725 h 2043063"/>
            <a:gd name="connsiteX2" fmla="*/ 1143990 w 4564723"/>
            <a:gd name="connsiteY2" fmla="*/ 2043063 h 2043063"/>
            <a:gd name="connsiteX3" fmla="*/ 1269802 w 4564723"/>
            <a:gd name="connsiteY3" fmla="*/ 1164840 h 2043063"/>
            <a:gd name="connsiteX4" fmla="*/ 2334952 w 4564723"/>
            <a:gd name="connsiteY4" fmla="*/ 2020053 h 2043063"/>
            <a:gd name="connsiteX5" fmla="*/ 2851902 w 4564723"/>
            <a:gd name="connsiteY5" fmla="*/ 456459 h 2043063"/>
            <a:gd name="connsiteX6" fmla="*/ 3414935 w 4564723"/>
            <a:gd name="connsiteY6" fmla="*/ 957767 h 2043063"/>
            <a:gd name="connsiteX7" fmla="*/ 4005109 w 4564723"/>
            <a:gd name="connsiteY7" fmla="*/ 1669496 h 2043063"/>
            <a:gd name="connsiteX8" fmla="*/ 4496605 w 4564723"/>
            <a:gd name="connsiteY8" fmla="*/ 53699 h 2043063"/>
            <a:gd name="connsiteX9" fmla="*/ 4564723 w 4564723"/>
            <a:gd name="connsiteY9" fmla="*/ 87485 h 2043063"/>
            <a:gd name="connsiteX0" fmla="*/ 0 w 4564723"/>
            <a:gd name="connsiteY0" fmla="*/ 1122881 h 2150549"/>
            <a:gd name="connsiteX1" fmla="*/ 583951 w 4564723"/>
            <a:gd name="connsiteY1" fmla="*/ 222725 h 2150549"/>
            <a:gd name="connsiteX2" fmla="*/ 1205354 w 4564723"/>
            <a:gd name="connsiteY2" fmla="*/ 2150549 h 2150549"/>
            <a:gd name="connsiteX3" fmla="*/ 1269802 w 4564723"/>
            <a:gd name="connsiteY3" fmla="*/ 1164840 h 2150549"/>
            <a:gd name="connsiteX4" fmla="*/ 2334952 w 4564723"/>
            <a:gd name="connsiteY4" fmla="*/ 2020053 h 2150549"/>
            <a:gd name="connsiteX5" fmla="*/ 2851902 w 4564723"/>
            <a:gd name="connsiteY5" fmla="*/ 456459 h 2150549"/>
            <a:gd name="connsiteX6" fmla="*/ 3414935 w 4564723"/>
            <a:gd name="connsiteY6" fmla="*/ 957767 h 2150549"/>
            <a:gd name="connsiteX7" fmla="*/ 4005109 w 4564723"/>
            <a:gd name="connsiteY7" fmla="*/ 1669496 h 2150549"/>
            <a:gd name="connsiteX8" fmla="*/ 4496605 w 4564723"/>
            <a:gd name="connsiteY8" fmla="*/ 53699 h 2150549"/>
            <a:gd name="connsiteX9" fmla="*/ 4564723 w 4564723"/>
            <a:gd name="connsiteY9" fmla="*/ 87485 h 2150549"/>
            <a:gd name="connsiteX0" fmla="*/ 0 w 4564723"/>
            <a:gd name="connsiteY0" fmla="*/ 1122881 h 2034106"/>
            <a:gd name="connsiteX1" fmla="*/ 583951 w 4564723"/>
            <a:gd name="connsiteY1" fmla="*/ 222725 h 2034106"/>
            <a:gd name="connsiteX2" fmla="*/ 1556009 w 4564723"/>
            <a:gd name="connsiteY2" fmla="*/ 2034106 h 2034106"/>
            <a:gd name="connsiteX3" fmla="*/ 1269802 w 4564723"/>
            <a:gd name="connsiteY3" fmla="*/ 1164840 h 2034106"/>
            <a:gd name="connsiteX4" fmla="*/ 2334952 w 4564723"/>
            <a:gd name="connsiteY4" fmla="*/ 2020053 h 2034106"/>
            <a:gd name="connsiteX5" fmla="*/ 2851902 w 4564723"/>
            <a:gd name="connsiteY5" fmla="*/ 456459 h 2034106"/>
            <a:gd name="connsiteX6" fmla="*/ 3414935 w 4564723"/>
            <a:gd name="connsiteY6" fmla="*/ 957767 h 2034106"/>
            <a:gd name="connsiteX7" fmla="*/ 4005109 w 4564723"/>
            <a:gd name="connsiteY7" fmla="*/ 1669496 h 2034106"/>
            <a:gd name="connsiteX8" fmla="*/ 4496605 w 4564723"/>
            <a:gd name="connsiteY8" fmla="*/ 53699 h 2034106"/>
            <a:gd name="connsiteX9" fmla="*/ 4564723 w 4564723"/>
            <a:gd name="connsiteY9" fmla="*/ 87485 h 2034106"/>
            <a:gd name="connsiteX0" fmla="*/ 0 w 4564723"/>
            <a:gd name="connsiteY0" fmla="*/ 1122881 h 2123678"/>
            <a:gd name="connsiteX1" fmla="*/ 583951 w 4564723"/>
            <a:gd name="connsiteY1" fmla="*/ 222725 h 2123678"/>
            <a:gd name="connsiteX2" fmla="*/ 1573541 w 4564723"/>
            <a:gd name="connsiteY2" fmla="*/ 2123678 h 2123678"/>
            <a:gd name="connsiteX3" fmla="*/ 1269802 w 4564723"/>
            <a:gd name="connsiteY3" fmla="*/ 1164840 h 2123678"/>
            <a:gd name="connsiteX4" fmla="*/ 2334952 w 4564723"/>
            <a:gd name="connsiteY4" fmla="*/ 2020053 h 2123678"/>
            <a:gd name="connsiteX5" fmla="*/ 2851902 w 4564723"/>
            <a:gd name="connsiteY5" fmla="*/ 456459 h 2123678"/>
            <a:gd name="connsiteX6" fmla="*/ 3414935 w 4564723"/>
            <a:gd name="connsiteY6" fmla="*/ 957767 h 2123678"/>
            <a:gd name="connsiteX7" fmla="*/ 4005109 w 4564723"/>
            <a:gd name="connsiteY7" fmla="*/ 1669496 h 2123678"/>
            <a:gd name="connsiteX8" fmla="*/ 4496605 w 4564723"/>
            <a:gd name="connsiteY8" fmla="*/ 53699 h 2123678"/>
            <a:gd name="connsiteX9" fmla="*/ 4564723 w 4564723"/>
            <a:gd name="connsiteY9" fmla="*/ 87485 h 2123678"/>
            <a:gd name="connsiteX0" fmla="*/ 0 w 4564723"/>
            <a:gd name="connsiteY0" fmla="*/ 1122881 h 2123678"/>
            <a:gd name="connsiteX1" fmla="*/ 583951 w 4564723"/>
            <a:gd name="connsiteY1" fmla="*/ 222725 h 2123678"/>
            <a:gd name="connsiteX2" fmla="*/ 1573541 w 4564723"/>
            <a:gd name="connsiteY2" fmla="*/ 2123678 h 2123678"/>
            <a:gd name="connsiteX3" fmla="*/ 1787018 w 4564723"/>
            <a:gd name="connsiteY3" fmla="*/ 958825 h 2123678"/>
            <a:gd name="connsiteX4" fmla="*/ 2334952 w 4564723"/>
            <a:gd name="connsiteY4" fmla="*/ 2020053 h 2123678"/>
            <a:gd name="connsiteX5" fmla="*/ 2851902 w 4564723"/>
            <a:gd name="connsiteY5" fmla="*/ 456459 h 2123678"/>
            <a:gd name="connsiteX6" fmla="*/ 3414935 w 4564723"/>
            <a:gd name="connsiteY6" fmla="*/ 957767 h 2123678"/>
            <a:gd name="connsiteX7" fmla="*/ 4005109 w 4564723"/>
            <a:gd name="connsiteY7" fmla="*/ 1669496 h 2123678"/>
            <a:gd name="connsiteX8" fmla="*/ 4496605 w 4564723"/>
            <a:gd name="connsiteY8" fmla="*/ 53699 h 2123678"/>
            <a:gd name="connsiteX9" fmla="*/ 4564723 w 4564723"/>
            <a:gd name="connsiteY9" fmla="*/ 87485 h 2123678"/>
            <a:gd name="connsiteX0" fmla="*/ 0 w 4564723"/>
            <a:gd name="connsiteY0" fmla="*/ 1122881 h 2105764"/>
            <a:gd name="connsiteX1" fmla="*/ 583951 w 4564723"/>
            <a:gd name="connsiteY1" fmla="*/ 222725 h 2105764"/>
            <a:gd name="connsiteX2" fmla="*/ 951128 w 4564723"/>
            <a:gd name="connsiteY2" fmla="*/ 2105764 h 2105764"/>
            <a:gd name="connsiteX3" fmla="*/ 1787018 w 4564723"/>
            <a:gd name="connsiteY3" fmla="*/ 958825 h 2105764"/>
            <a:gd name="connsiteX4" fmla="*/ 2334952 w 4564723"/>
            <a:gd name="connsiteY4" fmla="*/ 2020053 h 2105764"/>
            <a:gd name="connsiteX5" fmla="*/ 2851902 w 4564723"/>
            <a:gd name="connsiteY5" fmla="*/ 456459 h 2105764"/>
            <a:gd name="connsiteX6" fmla="*/ 3414935 w 4564723"/>
            <a:gd name="connsiteY6" fmla="*/ 957767 h 2105764"/>
            <a:gd name="connsiteX7" fmla="*/ 4005109 w 4564723"/>
            <a:gd name="connsiteY7" fmla="*/ 1669496 h 2105764"/>
            <a:gd name="connsiteX8" fmla="*/ 4496605 w 4564723"/>
            <a:gd name="connsiteY8" fmla="*/ 53699 h 2105764"/>
            <a:gd name="connsiteX9" fmla="*/ 4564723 w 4564723"/>
            <a:gd name="connsiteY9" fmla="*/ 87485 h 2105764"/>
            <a:gd name="connsiteX0" fmla="*/ 0 w 4564723"/>
            <a:gd name="connsiteY0" fmla="*/ 1122881 h 2222207"/>
            <a:gd name="connsiteX1" fmla="*/ 583951 w 4564723"/>
            <a:gd name="connsiteY1" fmla="*/ 222725 h 2222207"/>
            <a:gd name="connsiteX2" fmla="*/ 1091391 w 4564723"/>
            <a:gd name="connsiteY2" fmla="*/ 2222207 h 2222207"/>
            <a:gd name="connsiteX3" fmla="*/ 1787018 w 4564723"/>
            <a:gd name="connsiteY3" fmla="*/ 958825 h 2222207"/>
            <a:gd name="connsiteX4" fmla="*/ 2334952 w 4564723"/>
            <a:gd name="connsiteY4" fmla="*/ 2020053 h 2222207"/>
            <a:gd name="connsiteX5" fmla="*/ 2851902 w 4564723"/>
            <a:gd name="connsiteY5" fmla="*/ 456459 h 2222207"/>
            <a:gd name="connsiteX6" fmla="*/ 3414935 w 4564723"/>
            <a:gd name="connsiteY6" fmla="*/ 957767 h 2222207"/>
            <a:gd name="connsiteX7" fmla="*/ 4005109 w 4564723"/>
            <a:gd name="connsiteY7" fmla="*/ 1669496 h 2222207"/>
            <a:gd name="connsiteX8" fmla="*/ 4496605 w 4564723"/>
            <a:gd name="connsiteY8" fmla="*/ 53699 h 2222207"/>
            <a:gd name="connsiteX9" fmla="*/ 4564723 w 4564723"/>
            <a:gd name="connsiteY9" fmla="*/ 87485 h 2222207"/>
            <a:gd name="connsiteX0" fmla="*/ 0 w 4564723"/>
            <a:gd name="connsiteY0" fmla="*/ 1122881 h 2096807"/>
            <a:gd name="connsiteX1" fmla="*/ 583951 w 4564723"/>
            <a:gd name="connsiteY1" fmla="*/ 222725 h 2096807"/>
            <a:gd name="connsiteX2" fmla="*/ 1073858 w 4564723"/>
            <a:gd name="connsiteY2" fmla="*/ 2096807 h 2096807"/>
            <a:gd name="connsiteX3" fmla="*/ 1787018 w 4564723"/>
            <a:gd name="connsiteY3" fmla="*/ 958825 h 2096807"/>
            <a:gd name="connsiteX4" fmla="*/ 2334952 w 4564723"/>
            <a:gd name="connsiteY4" fmla="*/ 2020053 h 2096807"/>
            <a:gd name="connsiteX5" fmla="*/ 2851902 w 4564723"/>
            <a:gd name="connsiteY5" fmla="*/ 456459 h 2096807"/>
            <a:gd name="connsiteX6" fmla="*/ 3414935 w 4564723"/>
            <a:gd name="connsiteY6" fmla="*/ 957767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890774 w 4564723"/>
            <a:gd name="connsiteY1" fmla="*/ 1431946 h 2096807"/>
            <a:gd name="connsiteX2" fmla="*/ 1073858 w 4564723"/>
            <a:gd name="connsiteY2" fmla="*/ 2096807 h 2096807"/>
            <a:gd name="connsiteX3" fmla="*/ 1787018 w 4564723"/>
            <a:gd name="connsiteY3" fmla="*/ 958825 h 2096807"/>
            <a:gd name="connsiteX4" fmla="*/ 2334952 w 4564723"/>
            <a:gd name="connsiteY4" fmla="*/ 2020053 h 2096807"/>
            <a:gd name="connsiteX5" fmla="*/ 2851902 w 4564723"/>
            <a:gd name="connsiteY5" fmla="*/ 456459 h 2096807"/>
            <a:gd name="connsiteX6" fmla="*/ 3414935 w 4564723"/>
            <a:gd name="connsiteY6" fmla="*/ 957767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257413"/>
            <a:gd name="connsiteX1" fmla="*/ 1162532 w 4564723"/>
            <a:gd name="connsiteY1" fmla="*/ 2256008 h 2257413"/>
            <a:gd name="connsiteX2" fmla="*/ 1073858 w 4564723"/>
            <a:gd name="connsiteY2" fmla="*/ 2096807 h 2257413"/>
            <a:gd name="connsiteX3" fmla="*/ 1787018 w 4564723"/>
            <a:gd name="connsiteY3" fmla="*/ 958825 h 2257413"/>
            <a:gd name="connsiteX4" fmla="*/ 2334952 w 4564723"/>
            <a:gd name="connsiteY4" fmla="*/ 2020053 h 2257413"/>
            <a:gd name="connsiteX5" fmla="*/ 2851902 w 4564723"/>
            <a:gd name="connsiteY5" fmla="*/ 456459 h 2257413"/>
            <a:gd name="connsiteX6" fmla="*/ 3414935 w 4564723"/>
            <a:gd name="connsiteY6" fmla="*/ 957767 h 2257413"/>
            <a:gd name="connsiteX7" fmla="*/ 4005109 w 4564723"/>
            <a:gd name="connsiteY7" fmla="*/ 1669496 h 2257413"/>
            <a:gd name="connsiteX8" fmla="*/ 4496605 w 4564723"/>
            <a:gd name="connsiteY8" fmla="*/ 53699 h 2257413"/>
            <a:gd name="connsiteX9" fmla="*/ 4564723 w 4564723"/>
            <a:gd name="connsiteY9" fmla="*/ 87485 h 2257413"/>
            <a:gd name="connsiteX0" fmla="*/ 0 w 4564723"/>
            <a:gd name="connsiteY0" fmla="*/ 1122881 h 2266318"/>
            <a:gd name="connsiteX1" fmla="*/ 1118701 w 4564723"/>
            <a:gd name="connsiteY1" fmla="*/ 2264965 h 2266318"/>
            <a:gd name="connsiteX2" fmla="*/ 1073858 w 4564723"/>
            <a:gd name="connsiteY2" fmla="*/ 2096807 h 2266318"/>
            <a:gd name="connsiteX3" fmla="*/ 1787018 w 4564723"/>
            <a:gd name="connsiteY3" fmla="*/ 958825 h 2266318"/>
            <a:gd name="connsiteX4" fmla="*/ 2334952 w 4564723"/>
            <a:gd name="connsiteY4" fmla="*/ 2020053 h 2266318"/>
            <a:gd name="connsiteX5" fmla="*/ 2851902 w 4564723"/>
            <a:gd name="connsiteY5" fmla="*/ 456459 h 2266318"/>
            <a:gd name="connsiteX6" fmla="*/ 3414935 w 4564723"/>
            <a:gd name="connsiteY6" fmla="*/ 957767 h 2266318"/>
            <a:gd name="connsiteX7" fmla="*/ 4005109 w 4564723"/>
            <a:gd name="connsiteY7" fmla="*/ 1669496 h 2266318"/>
            <a:gd name="connsiteX8" fmla="*/ 4496605 w 4564723"/>
            <a:gd name="connsiteY8" fmla="*/ 53699 h 2266318"/>
            <a:gd name="connsiteX9" fmla="*/ 4564723 w 4564723"/>
            <a:gd name="connsiteY9" fmla="*/ 87485 h 2266318"/>
            <a:gd name="connsiteX0" fmla="*/ 0 w 4564723"/>
            <a:gd name="connsiteY0" fmla="*/ 1122881 h 2096807"/>
            <a:gd name="connsiteX1" fmla="*/ 1073858 w 4564723"/>
            <a:gd name="connsiteY1" fmla="*/ 2096807 h 2096807"/>
            <a:gd name="connsiteX2" fmla="*/ 1787018 w 4564723"/>
            <a:gd name="connsiteY2" fmla="*/ 958825 h 2096807"/>
            <a:gd name="connsiteX3" fmla="*/ 2334952 w 4564723"/>
            <a:gd name="connsiteY3" fmla="*/ 2020053 h 2096807"/>
            <a:gd name="connsiteX4" fmla="*/ 2851902 w 4564723"/>
            <a:gd name="connsiteY4" fmla="*/ 456459 h 2096807"/>
            <a:gd name="connsiteX5" fmla="*/ 3414935 w 4564723"/>
            <a:gd name="connsiteY5" fmla="*/ 957767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34952 w 4564723"/>
            <a:gd name="connsiteY3" fmla="*/ 2020053 h 2096807"/>
            <a:gd name="connsiteX4" fmla="*/ 2851902 w 4564723"/>
            <a:gd name="connsiteY4" fmla="*/ 456459 h 2096807"/>
            <a:gd name="connsiteX5" fmla="*/ 3414935 w 4564723"/>
            <a:gd name="connsiteY5" fmla="*/ 957767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34952 w 4564723"/>
            <a:gd name="connsiteY3" fmla="*/ 2020053 h 2096807"/>
            <a:gd name="connsiteX4" fmla="*/ 2851902 w 4564723"/>
            <a:gd name="connsiteY4" fmla="*/ 456459 h 2096807"/>
            <a:gd name="connsiteX5" fmla="*/ 3414935 w 4564723"/>
            <a:gd name="connsiteY5" fmla="*/ 957767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851902 w 4564723"/>
            <a:gd name="connsiteY4" fmla="*/ 456459 h 2096807"/>
            <a:gd name="connsiteX5" fmla="*/ 3414935 w 4564723"/>
            <a:gd name="connsiteY5" fmla="*/ 957767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851902 w 4564723"/>
            <a:gd name="connsiteY4" fmla="*/ 456459 h 2096807"/>
            <a:gd name="connsiteX5" fmla="*/ 3414935 w 4564723"/>
            <a:gd name="connsiteY5" fmla="*/ 957767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860669 w 4564723"/>
            <a:gd name="connsiteY4" fmla="*/ 519159 h 2096807"/>
            <a:gd name="connsiteX5" fmla="*/ 3414935 w 4564723"/>
            <a:gd name="connsiteY5" fmla="*/ 957767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860669 w 4564723"/>
            <a:gd name="connsiteY4" fmla="*/ 519159 h 2096807"/>
            <a:gd name="connsiteX5" fmla="*/ 3379870 w 4564723"/>
            <a:gd name="connsiteY5" fmla="*/ 1101083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860669 w 4564723"/>
            <a:gd name="connsiteY4" fmla="*/ 519159 h 2096807"/>
            <a:gd name="connsiteX5" fmla="*/ 3379870 w 4564723"/>
            <a:gd name="connsiteY5" fmla="*/ 1101083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860669 w 4564723"/>
            <a:gd name="connsiteY4" fmla="*/ 519159 h 2096807"/>
            <a:gd name="connsiteX5" fmla="*/ 3379870 w 4564723"/>
            <a:gd name="connsiteY5" fmla="*/ 1101083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860669 w 4564723"/>
            <a:gd name="connsiteY4" fmla="*/ 548270 h 2096807"/>
            <a:gd name="connsiteX5" fmla="*/ 3379870 w 4564723"/>
            <a:gd name="connsiteY5" fmla="*/ 1101083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638196 w 4564723"/>
            <a:gd name="connsiteY4" fmla="*/ 499752 h 2096807"/>
            <a:gd name="connsiteX5" fmla="*/ 3379870 w 4564723"/>
            <a:gd name="connsiteY5" fmla="*/ 1101083 h 2096807"/>
            <a:gd name="connsiteX6" fmla="*/ 4005109 w 4564723"/>
            <a:gd name="connsiteY6" fmla="*/ 1669496 h 2096807"/>
            <a:gd name="connsiteX7" fmla="*/ 4496605 w 4564723"/>
            <a:gd name="connsiteY7" fmla="*/ 53699 h 2096807"/>
            <a:gd name="connsiteX8" fmla="*/ 4564723 w 4564723"/>
            <a:gd name="connsiteY8"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581102 w 4564723"/>
            <a:gd name="connsiteY4" fmla="*/ 776199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581102 w 4564723"/>
            <a:gd name="connsiteY4" fmla="*/ 776199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43718 w 4564723"/>
            <a:gd name="connsiteY3" fmla="*/ 2029011 h 2096807"/>
            <a:gd name="connsiteX4" fmla="*/ 2581102 w 4564723"/>
            <a:gd name="connsiteY4" fmla="*/ 776199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581102 w 4564723"/>
            <a:gd name="connsiteY4" fmla="*/ 776199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581102 w 4564723"/>
            <a:gd name="connsiteY4" fmla="*/ 776199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938993 w 4564723"/>
            <a:gd name="connsiteY4" fmla="*/ 931458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39138 w 4564723"/>
            <a:gd name="connsiteY4" fmla="*/ 805311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00447 w 4564723"/>
            <a:gd name="connsiteY4" fmla="*/ 776199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00447 w 4564723"/>
            <a:gd name="connsiteY4" fmla="*/ 776199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638196 w 4564723"/>
            <a:gd name="connsiteY5" fmla="*/ 499752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802632 w 4564723"/>
            <a:gd name="connsiteY5" fmla="*/ 625900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860669 w 4564723"/>
            <a:gd name="connsiteY5" fmla="*/ 567678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754269 w 4564723"/>
            <a:gd name="connsiteY5" fmla="*/ 858788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638196 w 4564723"/>
            <a:gd name="connsiteY5" fmla="*/ 810270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638196 w 4564723"/>
            <a:gd name="connsiteY5" fmla="*/ 810270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686560 w 4564723"/>
            <a:gd name="connsiteY5" fmla="*/ 402715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705905 w 4564723"/>
            <a:gd name="connsiteY5" fmla="*/ 354196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986414 w 4564723"/>
            <a:gd name="connsiteY5" fmla="*/ 577381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305028 w 4564723"/>
            <a:gd name="connsiteY3" fmla="*/ 2029012 h 2096807"/>
            <a:gd name="connsiteX4" fmla="*/ 2619793 w 4564723"/>
            <a:gd name="connsiteY4" fmla="*/ 766496 h 2096807"/>
            <a:gd name="connsiteX5" fmla="*/ 2986414 w 4564723"/>
            <a:gd name="connsiteY5" fmla="*/ 577381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982119 w 4564723"/>
            <a:gd name="connsiteY3" fmla="*/ 583162 h 2096807"/>
            <a:gd name="connsiteX4" fmla="*/ 2619793 w 4564723"/>
            <a:gd name="connsiteY4" fmla="*/ 766496 h 2096807"/>
            <a:gd name="connsiteX5" fmla="*/ 2986414 w 4564723"/>
            <a:gd name="connsiteY5" fmla="*/ 577381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982119 w 4564723"/>
            <a:gd name="connsiteY3" fmla="*/ 583162 h 2096807"/>
            <a:gd name="connsiteX4" fmla="*/ 2629466 w 4564723"/>
            <a:gd name="connsiteY4" fmla="*/ 785903 h 2096807"/>
            <a:gd name="connsiteX5" fmla="*/ 2986414 w 4564723"/>
            <a:gd name="connsiteY5" fmla="*/ 577381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982119 w 4564723"/>
            <a:gd name="connsiteY3" fmla="*/ 583162 h 2096807"/>
            <a:gd name="connsiteX4" fmla="*/ 2629466 w 4564723"/>
            <a:gd name="connsiteY4" fmla="*/ 785903 h 2096807"/>
            <a:gd name="connsiteX5" fmla="*/ 2986414 w 4564723"/>
            <a:gd name="connsiteY5" fmla="*/ 577381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982119 w 4564723"/>
            <a:gd name="connsiteY3" fmla="*/ 583162 h 2096807"/>
            <a:gd name="connsiteX4" fmla="*/ 2977684 w 4564723"/>
            <a:gd name="connsiteY4" fmla="*/ 572422 h 2096807"/>
            <a:gd name="connsiteX5" fmla="*/ 2986414 w 4564723"/>
            <a:gd name="connsiteY5" fmla="*/ 577381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982119 w 4564723"/>
            <a:gd name="connsiteY3" fmla="*/ 583162 h 2096807"/>
            <a:gd name="connsiteX4" fmla="*/ 2977684 w 4564723"/>
            <a:gd name="connsiteY4" fmla="*/ 572422 h 2096807"/>
            <a:gd name="connsiteX5" fmla="*/ 2986414 w 4564723"/>
            <a:gd name="connsiteY5" fmla="*/ 577381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2096807"/>
            <a:gd name="connsiteX1" fmla="*/ 1073858 w 4564723"/>
            <a:gd name="connsiteY1" fmla="*/ 2096807 h 2096807"/>
            <a:gd name="connsiteX2" fmla="*/ 1830850 w 4564723"/>
            <a:gd name="connsiteY2" fmla="*/ 1155883 h 2096807"/>
            <a:gd name="connsiteX3" fmla="*/ 2982119 w 4564723"/>
            <a:gd name="connsiteY3" fmla="*/ 583162 h 2096807"/>
            <a:gd name="connsiteX4" fmla="*/ 2977684 w 4564723"/>
            <a:gd name="connsiteY4" fmla="*/ 572422 h 2096807"/>
            <a:gd name="connsiteX5" fmla="*/ 2986414 w 4564723"/>
            <a:gd name="connsiteY5" fmla="*/ 577381 h 2096807"/>
            <a:gd name="connsiteX6" fmla="*/ 3379870 w 4564723"/>
            <a:gd name="connsiteY6" fmla="*/ 1101083 h 2096807"/>
            <a:gd name="connsiteX7" fmla="*/ 4005109 w 4564723"/>
            <a:gd name="connsiteY7" fmla="*/ 1669496 h 2096807"/>
            <a:gd name="connsiteX8" fmla="*/ 4496605 w 4564723"/>
            <a:gd name="connsiteY8" fmla="*/ 53699 h 2096807"/>
            <a:gd name="connsiteX9" fmla="*/ 4564723 w 4564723"/>
            <a:gd name="connsiteY9" fmla="*/ 87485 h 2096807"/>
            <a:gd name="connsiteX0" fmla="*/ 0 w 4564723"/>
            <a:gd name="connsiteY0" fmla="*/ 1122881 h 1669496"/>
            <a:gd name="connsiteX1" fmla="*/ 725640 w 4564723"/>
            <a:gd name="connsiteY1" fmla="*/ 359846 h 1669496"/>
            <a:gd name="connsiteX2" fmla="*/ 1830850 w 4564723"/>
            <a:gd name="connsiteY2" fmla="*/ 1155883 h 1669496"/>
            <a:gd name="connsiteX3" fmla="*/ 2982119 w 4564723"/>
            <a:gd name="connsiteY3" fmla="*/ 583162 h 1669496"/>
            <a:gd name="connsiteX4" fmla="*/ 2977684 w 4564723"/>
            <a:gd name="connsiteY4" fmla="*/ 572422 h 1669496"/>
            <a:gd name="connsiteX5" fmla="*/ 2986414 w 4564723"/>
            <a:gd name="connsiteY5" fmla="*/ 577381 h 1669496"/>
            <a:gd name="connsiteX6" fmla="*/ 3379870 w 4564723"/>
            <a:gd name="connsiteY6" fmla="*/ 1101083 h 1669496"/>
            <a:gd name="connsiteX7" fmla="*/ 4005109 w 4564723"/>
            <a:gd name="connsiteY7" fmla="*/ 1669496 h 1669496"/>
            <a:gd name="connsiteX8" fmla="*/ 4496605 w 4564723"/>
            <a:gd name="connsiteY8" fmla="*/ 53699 h 1669496"/>
            <a:gd name="connsiteX9" fmla="*/ 4564723 w 4564723"/>
            <a:gd name="connsiteY9" fmla="*/ 87485 h 1669496"/>
            <a:gd name="connsiteX0" fmla="*/ 0 w 4564723"/>
            <a:gd name="connsiteY0" fmla="*/ 1122881 h 1669496"/>
            <a:gd name="connsiteX1" fmla="*/ 725640 w 4564723"/>
            <a:gd name="connsiteY1" fmla="*/ 359846 h 1669496"/>
            <a:gd name="connsiteX2" fmla="*/ 1308522 w 4564723"/>
            <a:gd name="connsiteY2" fmla="*/ 1505216 h 1669496"/>
            <a:gd name="connsiteX3" fmla="*/ 2982119 w 4564723"/>
            <a:gd name="connsiteY3" fmla="*/ 583162 h 1669496"/>
            <a:gd name="connsiteX4" fmla="*/ 2977684 w 4564723"/>
            <a:gd name="connsiteY4" fmla="*/ 572422 h 1669496"/>
            <a:gd name="connsiteX5" fmla="*/ 2986414 w 4564723"/>
            <a:gd name="connsiteY5" fmla="*/ 577381 h 1669496"/>
            <a:gd name="connsiteX6" fmla="*/ 3379870 w 4564723"/>
            <a:gd name="connsiteY6" fmla="*/ 1101083 h 1669496"/>
            <a:gd name="connsiteX7" fmla="*/ 4005109 w 4564723"/>
            <a:gd name="connsiteY7" fmla="*/ 1669496 h 1669496"/>
            <a:gd name="connsiteX8" fmla="*/ 4496605 w 4564723"/>
            <a:gd name="connsiteY8" fmla="*/ 53699 h 1669496"/>
            <a:gd name="connsiteX9" fmla="*/ 4564723 w 4564723"/>
            <a:gd name="connsiteY9" fmla="*/ 87485 h 1669496"/>
            <a:gd name="connsiteX0" fmla="*/ 0 w 4564723"/>
            <a:gd name="connsiteY0" fmla="*/ 1122881 h 1669496"/>
            <a:gd name="connsiteX1" fmla="*/ 725640 w 4564723"/>
            <a:gd name="connsiteY1" fmla="*/ 359846 h 1669496"/>
            <a:gd name="connsiteX2" fmla="*/ 1308522 w 4564723"/>
            <a:gd name="connsiteY2" fmla="*/ 1505216 h 1669496"/>
            <a:gd name="connsiteX3" fmla="*/ 2982119 w 4564723"/>
            <a:gd name="connsiteY3" fmla="*/ 583162 h 1669496"/>
            <a:gd name="connsiteX4" fmla="*/ 2977684 w 4564723"/>
            <a:gd name="connsiteY4" fmla="*/ 572422 h 1669496"/>
            <a:gd name="connsiteX5" fmla="*/ 2792960 w 4564723"/>
            <a:gd name="connsiteY5" fmla="*/ 664714 h 1669496"/>
            <a:gd name="connsiteX6" fmla="*/ 3379870 w 4564723"/>
            <a:gd name="connsiteY6" fmla="*/ 1101083 h 1669496"/>
            <a:gd name="connsiteX7" fmla="*/ 4005109 w 4564723"/>
            <a:gd name="connsiteY7" fmla="*/ 1669496 h 1669496"/>
            <a:gd name="connsiteX8" fmla="*/ 4496605 w 4564723"/>
            <a:gd name="connsiteY8" fmla="*/ 53699 h 1669496"/>
            <a:gd name="connsiteX9" fmla="*/ 4564723 w 4564723"/>
            <a:gd name="connsiteY9" fmla="*/ 87485 h 1669496"/>
            <a:gd name="connsiteX0" fmla="*/ 0 w 4564723"/>
            <a:gd name="connsiteY0" fmla="*/ 1122881 h 1669496"/>
            <a:gd name="connsiteX1" fmla="*/ 725640 w 4564723"/>
            <a:gd name="connsiteY1" fmla="*/ 359846 h 1669496"/>
            <a:gd name="connsiteX2" fmla="*/ 1308522 w 4564723"/>
            <a:gd name="connsiteY2" fmla="*/ 1505216 h 1669496"/>
            <a:gd name="connsiteX3" fmla="*/ 2982119 w 4564723"/>
            <a:gd name="connsiteY3" fmla="*/ 583162 h 1669496"/>
            <a:gd name="connsiteX4" fmla="*/ 2977684 w 4564723"/>
            <a:gd name="connsiteY4" fmla="*/ 572422 h 1669496"/>
            <a:gd name="connsiteX5" fmla="*/ 2260960 w 4564723"/>
            <a:gd name="connsiteY5" fmla="*/ 606492 h 1669496"/>
            <a:gd name="connsiteX6" fmla="*/ 3379870 w 4564723"/>
            <a:gd name="connsiteY6" fmla="*/ 1101083 h 1669496"/>
            <a:gd name="connsiteX7" fmla="*/ 4005109 w 4564723"/>
            <a:gd name="connsiteY7" fmla="*/ 1669496 h 1669496"/>
            <a:gd name="connsiteX8" fmla="*/ 4496605 w 4564723"/>
            <a:gd name="connsiteY8" fmla="*/ 53699 h 1669496"/>
            <a:gd name="connsiteX9" fmla="*/ 4564723 w 4564723"/>
            <a:gd name="connsiteY9" fmla="*/ 87485 h 1669496"/>
            <a:gd name="connsiteX0" fmla="*/ 0 w 4564723"/>
            <a:gd name="connsiteY0" fmla="*/ 1122881 h 1669496"/>
            <a:gd name="connsiteX1" fmla="*/ 725640 w 4564723"/>
            <a:gd name="connsiteY1" fmla="*/ 359846 h 1669496"/>
            <a:gd name="connsiteX2" fmla="*/ 1308522 w 4564723"/>
            <a:gd name="connsiteY2" fmla="*/ 1505216 h 1669496"/>
            <a:gd name="connsiteX3" fmla="*/ 2982119 w 4564723"/>
            <a:gd name="connsiteY3" fmla="*/ 583162 h 1669496"/>
            <a:gd name="connsiteX4" fmla="*/ 2977684 w 4564723"/>
            <a:gd name="connsiteY4" fmla="*/ 572422 h 1669496"/>
            <a:gd name="connsiteX5" fmla="*/ 2067505 w 4564723"/>
            <a:gd name="connsiteY5" fmla="*/ 810270 h 1669496"/>
            <a:gd name="connsiteX6" fmla="*/ 3379870 w 4564723"/>
            <a:gd name="connsiteY6" fmla="*/ 1101083 h 1669496"/>
            <a:gd name="connsiteX7" fmla="*/ 4005109 w 4564723"/>
            <a:gd name="connsiteY7" fmla="*/ 1669496 h 1669496"/>
            <a:gd name="connsiteX8" fmla="*/ 4496605 w 4564723"/>
            <a:gd name="connsiteY8" fmla="*/ 53699 h 1669496"/>
            <a:gd name="connsiteX9" fmla="*/ 4564723 w 4564723"/>
            <a:gd name="connsiteY9" fmla="*/ 87485 h 1669496"/>
            <a:gd name="connsiteX0" fmla="*/ 0 w 4564723"/>
            <a:gd name="connsiteY0" fmla="*/ 1122881 h 1669496"/>
            <a:gd name="connsiteX1" fmla="*/ 725640 w 4564723"/>
            <a:gd name="connsiteY1" fmla="*/ 359846 h 1669496"/>
            <a:gd name="connsiteX2" fmla="*/ 1308522 w 4564723"/>
            <a:gd name="connsiteY2" fmla="*/ 1505216 h 1669496"/>
            <a:gd name="connsiteX3" fmla="*/ 2982119 w 4564723"/>
            <a:gd name="connsiteY3" fmla="*/ 583162 h 1669496"/>
            <a:gd name="connsiteX4" fmla="*/ 2977684 w 4564723"/>
            <a:gd name="connsiteY4" fmla="*/ 572422 h 1669496"/>
            <a:gd name="connsiteX5" fmla="*/ 1864378 w 4564723"/>
            <a:gd name="connsiteY5" fmla="*/ 810270 h 1669496"/>
            <a:gd name="connsiteX6" fmla="*/ 3379870 w 4564723"/>
            <a:gd name="connsiteY6" fmla="*/ 1101083 h 1669496"/>
            <a:gd name="connsiteX7" fmla="*/ 4005109 w 4564723"/>
            <a:gd name="connsiteY7" fmla="*/ 1669496 h 1669496"/>
            <a:gd name="connsiteX8" fmla="*/ 4496605 w 4564723"/>
            <a:gd name="connsiteY8" fmla="*/ 53699 h 1669496"/>
            <a:gd name="connsiteX9" fmla="*/ 4564723 w 4564723"/>
            <a:gd name="connsiteY9" fmla="*/ 87485 h 1669496"/>
            <a:gd name="connsiteX0" fmla="*/ 0 w 4564723"/>
            <a:gd name="connsiteY0" fmla="*/ 1122881 h 1669496"/>
            <a:gd name="connsiteX1" fmla="*/ 725640 w 4564723"/>
            <a:gd name="connsiteY1" fmla="*/ 359846 h 1669496"/>
            <a:gd name="connsiteX2" fmla="*/ 1308522 w 4564723"/>
            <a:gd name="connsiteY2" fmla="*/ 1505216 h 1669496"/>
            <a:gd name="connsiteX3" fmla="*/ 2982119 w 4564723"/>
            <a:gd name="connsiteY3" fmla="*/ 583162 h 1669496"/>
            <a:gd name="connsiteX4" fmla="*/ 2977684 w 4564723"/>
            <a:gd name="connsiteY4" fmla="*/ 572422 h 1669496"/>
            <a:gd name="connsiteX5" fmla="*/ 1864378 w 4564723"/>
            <a:gd name="connsiteY5" fmla="*/ 810270 h 1669496"/>
            <a:gd name="connsiteX6" fmla="*/ 3379870 w 4564723"/>
            <a:gd name="connsiteY6" fmla="*/ 1101083 h 1669496"/>
            <a:gd name="connsiteX7" fmla="*/ 4005109 w 4564723"/>
            <a:gd name="connsiteY7" fmla="*/ 1669496 h 1669496"/>
            <a:gd name="connsiteX8" fmla="*/ 4496605 w 4564723"/>
            <a:gd name="connsiteY8" fmla="*/ 53699 h 1669496"/>
            <a:gd name="connsiteX9" fmla="*/ 4564723 w 4564723"/>
            <a:gd name="connsiteY9" fmla="*/ 87485 h 1669496"/>
            <a:gd name="connsiteX0" fmla="*/ 0 w 4564723"/>
            <a:gd name="connsiteY0" fmla="*/ 1122881 h 1669496"/>
            <a:gd name="connsiteX1" fmla="*/ 725640 w 4564723"/>
            <a:gd name="connsiteY1" fmla="*/ 359846 h 1669496"/>
            <a:gd name="connsiteX2" fmla="*/ 1308522 w 4564723"/>
            <a:gd name="connsiteY2" fmla="*/ 1505216 h 1669496"/>
            <a:gd name="connsiteX3" fmla="*/ 2982119 w 4564723"/>
            <a:gd name="connsiteY3" fmla="*/ 583162 h 1669496"/>
            <a:gd name="connsiteX4" fmla="*/ 2977684 w 4564723"/>
            <a:gd name="connsiteY4" fmla="*/ 572422 h 1669496"/>
            <a:gd name="connsiteX5" fmla="*/ 1864378 w 4564723"/>
            <a:gd name="connsiteY5" fmla="*/ 810270 h 1669496"/>
            <a:gd name="connsiteX6" fmla="*/ 3379870 w 4564723"/>
            <a:gd name="connsiteY6" fmla="*/ 1101083 h 1669496"/>
            <a:gd name="connsiteX7" fmla="*/ 4005109 w 4564723"/>
            <a:gd name="connsiteY7" fmla="*/ 1669496 h 1669496"/>
            <a:gd name="connsiteX8" fmla="*/ 4496605 w 4564723"/>
            <a:gd name="connsiteY8" fmla="*/ 53699 h 1669496"/>
            <a:gd name="connsiteX9" fmla="*/ 4564723 w 4564723"/>
            <a:gd name="connsiteY9" fmla="*/ 87485 h 1669496"/>
            <a:gd name="connsiteX0" fmla="*/ 0 w 4564723"/>
            <a:gd name="connsiteY0" fmla="*/ 1122881 h 2159083"/>
            <a:gd name="connsiteX1" fmla="*/ 725640 w 4564723"/>
            <a:gd name="connsiteY1" fmla="*/ 359846 h 2159083"/>
            <a:gd name="connsiteX2" fmla="*/ 1308522 w 4564723"/>
            <a:gd name="connsiteY2" fmla="*/ 1505216 h 2159083"/>
            <a:gd name="connsiteX3" fmla="*/ 2982119 w 4564723"/>
            <a:gd name="connsiteY3" fmla="*/ 583162 h 2159083"/>
            <a:gd name="connsiteX4" fmla="*/ 2977684 w 4564723"/>
            <a:gd name="connsiteY4" fmla="*/ 572422 h 2159083"/>
            <a:gd name="connsiteX5" fmla="*/ 2357687 w 4564723"/>
            <a:gd name="connsiteY5" fmla="*/ 2159083 h 2159083"/>
            <a:gd name="connsiteX6" fmla="*/ 3379870 w 4564723"/>
            <a:gd name="connsiteY6" fmla="*/ 1101083 h 2159083"/>
            <a:gd name="connsiteX7" fmla="*/ 4005109 w 4564723"/>
            <a:gd name="connsiteY7" fmla="*/ 1669496 h 2159083"/>
            <a:gd name="connsiteX8" fmla="*/ 4496605 w 4564723"/>
            <a:gd name="connsiteY8" fmla="*/ 53699 h 2159083"/>
            <a:gd name="connsiteX9" fmla="*/ 4564723 w 4564723"/>
            <a:gd name="connsiteY9" fmla="*/ 87485 h 2159083"/>
            <a:gd name="connsiteX0" fmla="*/ 0 w 4564723"/>
            <a:gd name="connsiteY0" fmla="*/ 1122881 h 2159083"/>
            <a:gd name="connsiteX1" fmla="*/ 725640 w 4564723"/>
            <a:gd name="connsiteY1" fmla="*/ 359846 h 2159083"/>
            <a:gd name="connsiteX2" fmla="*/ 1308522 w 4564723"/>
            <a:gd name="connsiteY2" fmla="*/ 1505216 h 2159083"/>
            <a:gd name="connsiteX3" fmla="*/ 2982119 w 4564723"/>
            <a:gd name="connsiteY3" fmla="*/ 583162 h 2159083"/>
            <a:gd name="connsiteX4" fmla="*/ 1787938 w 4564723"/>
            <a:gd name="connsiteY4" fmla="*/ 756792 h 2159083"/>
            <a:gd name="connsiteX5" fmla="*/ 2357687 w 4564723"/>
            <a:gd name="connsiteY5" fmla="*/ 2159083 h 2159083"/>
            <a:gd name="connsiteX6" fmla="*/ 3379870 w 4564723"/>
            <a:gd name="connsiteY6" fmla="*/ 1101083 h 2159083"/>
            <a:gd name="connsiteX7" fmla="*/ 4005109 w 4564723"/>
            <a:gd name="connsiteY7" fmla="*/ 1669496 h 2159083"/>
            <a:gd name="connsiteX8" fmla="*/ 4496605 w 4564723"/>
            <a:gd name="connsiteY8" fmla="*/ 53699 h 2159083"/>
            <a:gd name="connsiteX9" fmla="*/ 4564723 w 4564723"/>
            <a:gd name="connsiteY9" fmla="*/ 87485 h 2159083"/>
            <a:gd name="connsiteX0" fmla="*/ 0 w 4564723"/>
            <a:gd name="connsiteY0" fmla="*/ 1122881 h 2159083"/>
            <a:gd name="connsiteX1" fmla="*/ 725640 w 4564723"/>
            <a:gd name="connsiteY1" fmla="*/ 359846 h 2159083"/>
            <a:gd name="connsiteX2" fmla="*/ 1308522 w 4564723"/>
            <a:gd name="connsiteY2" fmla="*/ 1505216 h 2159083"/>
            <a:gd name="connsiteX3" fmla="*/ 2982119 w 4564723"/>
            <a:gd name="connsiteY3" fmla="*/ 583162 h 2159083"/>
            <a:gd name="connsiteX4" fmla="*/ 1787938 w 4564723"/>
            <a:gd name="connsiteY4" fmla="*/ 756792 h 2159083"/>
            <a:gd name="connsiteX5" fmla="*/ 2357687 w 4564723"/>
            <a:gd name="connsiteY5" fmla="*/ 2159083 h 2159083"/>
            <a:gd name="connsiteX6" fmla="*/ 3379870 w 4564723"/>
            <a:gd name="connsiteY6" fmla="*/ 1101083 h 2159083"/>
            <a:gd name="connsiteX7" fmla="*/ 4005109 w 4564723"/>
            <a:gd name="connsiteY7" fmla="*/ 1669496 h 2159083"/>
            <a:gd name="connsiteX8" fmla="*/ 4496605 w 4564723"/>
            <a:gd name="connsiteY8" fmla="*/ 53699 h 2159083"/>
            <a:gd name="connsiteX9" fmla="*/ 4564723 w 4564723"/>
            <a:gd name="connsiteY9" fmla="*/ 87485 h 2159083"/>
            <a:gd name="connsiteX0" fmla="*/ 0 w 4564723"/>
            <a:gd name="connsiteY0" fmla="*/ 1122881 h 2159083"/>
            <a:gd name="connsiteX1" fmla="*/ 725640 w 4564723"/>
            <a:gd name="connsiteY1" fmla="*/ 359846 h 2159083"/>
            <a:gd name="connsiteX2" fmla="*/ 1308522 w 4564723"/>
            <a:gd name="connsiteY2" fmla="*/ 1505216 h 2159083"/>
            <a:gd name="connsiteX3" fmla="*/ 2982119 w 4564723"/>
            <a:gd name="connsiteY3" fmla="*/ 583162 h 2159083"/>
            <a:gd name="connsiteX4" fmla="*/ 1787938 w 4564723"/>
            <a:gd name="connsiteY4" fmla="*/ 795607 h 2159083"/>
            <a:gd name="connsiteX5" fmla="*/ 2357687 w 4564723"/>
            <a:gd name="connsiteY5" fmla="*/ 2159083 h 2159083"/>
            <a:gd name="connsiteX6" fmla="*/ 3379870 w 4564723"/>
            <a:gd name="connsiteY6" fmla="*/ 1101083 h 2159083"/>
            <a:gd name="connsiteX7" fmla="*/ 4005109 w 4564723"/>
            <a:gd name="connsiteY7" fmla="*/ 1669496 h 2159083"/>
            <a:gd name="connsiteX8" fmla="*/ 4496605 w 4564723"/>
            <a:gd name="connsiteY8" fmla="*/ 53699 h 2159083"/>
            <a:gd name="connsiteX9" fmla="*/ 4564723 w 4564723"/>
            <a:gd name="connsiteY9" fmla="*/ 87485 h 2159083"/>
            <a:gd name="connsiteX0" fmla="*/ 0 w 4564723"/>
            <a:gd name="connsiteY0" fmla="*/ 1122881 h 2159083"/>
            <a:gd name="connsiteX1" fmla="*/ 725640 w 4564723"/>
            <a:gd name="connsiteY1" fmla="*/ 359846 h 2159083"/>
            <a:gd name="connsiteX2" fmla="*/ 1308522 w 4564723"/>
            <a:gd name="connsiteY2" fmla="*/ 1505216 h 2159083"/>
            <a:gd name="connsiteX3" fmla="*/ 1773029 w 4564723"/>
            <a:gd name="connsiteY3" fmla="*/ 796643 h 2159083"/>
            <a:gd name="connsiteX4" fmla="*/ 1787938 w 4564723"/>
            <a:gd name="connsiteY4" fmla="*/ 795607 h 2159083"/>
            <a:gd name="connsiteX5" fmla="*/ 2357687 w 4564723"/>
            <a:gd name="connsiteY5" fmla="*/ 2159083 h 2159083"/>
            <a:gd name="connsiteX6" fmla="*/ 3379870 w 4564723"/>
            <a:gd name="connsiteY6" fmla="*/ 1101083 h 2159083"/>
            <a:gd name="connsiteX7" fmla="*/ 4005109 w 4564723"/>
            <a:gd name="connsiteY7" fmla="*/ 1669496 h 2159083"/>
            <a:gd name="connsiteX8" fmla="*/ 4496605 w 4564723"/>
            <a:gd name="connsiteY8" fmla="*/ 53699 h 2159083"/>
            <a:gd name="connsiteX9" fmla="*/ 4564723 w 4564723"/>
            <a:gd name="connsiteY9" fmla="*/ 87485 h 2159083"/>
            <a:gd name="connsiteX0" fmla="*/ 0 w 4564723"/>
            <a:gd name="connsiteY0" fmla="*/ 1122881 h 2159083"/>
            <a:gd name="connsiteX1" fmla="*/ 725640 w 4564723"/>
            <a:gd name="connsiteY1" fmla="*/ 359846 h 2159083"/>
            <a:gd name="connsiteX2" fmla="*/ 1308522 w 4564723"/>
            <a:gd name="connsiteY2" fmla="*/ 1505216 h 2159083"/>
            <a:gd name="connsiteX3" fmla="*/ 1773029 w 4564723"/>
            <a:gd name="connsiteY3" fmla="*/ 796643 h 2159083"/>
            <a:gd name="connsiteX4" fmla="*/ 1787938 w 4564723"/>
            <a:gd name="connsiteY4" fmla="*/ 795607 h 2159083"/>
            <a:gd name="connsiteX5" fmla="*/ 2357687 w 4564723"/>
            <a:gd name="connsiteY5" fmla="*/ 2159083 h 2159083"/>
            <a:gd name="connsiteX6" fmla="*/ 2944598 w 4564723"/>
            <a:gd name="connsiteY6" fmla="*/ 547973 h 2159083"/>
            <a:gd name="connsiteX7" fmla="*/ 4005109 w 4564723"/>
            <a:gd name="connsiteY7" fmla="*/ 1669496 h 2159083"/>
            <a:gd name="connsiteX8" fmla="*/ 4496605 w 4564723"/>
            <a:gd name="connsiteY8" fmla="*/ 53699 h 2159083"/>
            <a:gd name="connsiteX9" fmla="*/ 4564723 w 4564723"/>
            <a:gd name="connsiteY9" fmla="*/ 87485 h 2159083"/>
            <a:gd name="connsiteX0" fmla="*/ 0 w 4564723"/>
            <a:gd name="connsiteY0" fmla="*/ 1122881 h 2159083"/>
            <a:gd name="connsiteX1" fmla="*/ 725640 w 4564723"/>
            <a:gd name="connsiteY1" fmla="*/ 359846 h 2159083"/>
            <a:gd name="connsiteX2" fmla="*/ 1308522 w 4564723"/>
            <a:gd name="connsiteY2" fmla="*/ 1505216 h 2159083"/>
            <a:gd name="connsiteX3" fmla="*/ 1773029 w 4564723"/>
            <a:gd name="connsiteY3" fmla="*/ 796643 h 2159083"/>
            <a:gd name="connsiteX4" fmla="*/ 1787938 w 4564723"/>
            <a:gd name="connsiteY4" fmla="*/ 795607 h 2159083"/>
            <a:gd name="connsiteX5" fmla="*/ 2357687 w 4564723"/>
            <a:gd name="connsiteY5" fmla="*/ 2159083 h 2159083"/>
            <a:gd name="connsiteX6" fmla="*/ 2944598 w 4564723"/>
            <a:gd name="connsiteY6" fmla="*/ 547973 h 2159083"/>
            <a:gd name="connsiteX7" fmla="*/ 3463437 w 4564723"/>
            <a:gd name="connsiteY7" fmla="*/ 1067868 h 2159083"/>
            <a:gd name="connsiteX8" fmla="*/ 4496605 w 4564723"/>
            <a:gd name="connsiteY8" fmla="*/ 53699 h 2159083"/>
            <a:gd name="connsiteX9" fmla="*/ 4564723 w 4564723"/>
            <a:gd name="connsiteY9" fmla="*/ 87485 h 2159083"/>
            <a:gd name="connsiteX0" fmla="*/ 0 w 4564723"/>
            <a:gd name="connsiteY0" fmla="*/ 1122881 h 2159083"/>
            <a:gd name="connsiteX1" fmla="*/ 725640 w 4564723"/>
            <a:gd name="connsiteY1" fmla="*/ 359846 h 2159083"/>
            <a:gd name="connsiteX2" fmla="*/ 1308522 w 4564723"/>
            <a:gd name="connsiteY2" fmla="*/ 1505216 h 2159083"/>
            <a:gd name="connsiteX3" fmla="*/ 1773029 w 4564723"/>
            <a:gd name="connsiteY3" fmla="*/ 796643 h 2159083"/>
            <a:gd name="connsiteX4" fmla="*/ 1787938 w 4564723"/>
            <a:gd name="connsiteY4" fmla="*/ 795607 h 2159083"/>
            <a:gd name="connsiteX5" fmla="*/ 2357687 w 4564723"/>
            <a:gd name="connsiteY5" fmla="*/ 2159083 h 2159083"/>
            <a:gd name="connsiteX6" fmla="*/ 2944598 w 4564723"/>
            <a:gd name="connsiteY6" fmla="*/ 547973 h 2159083"/>
            <a:gd name="connsiteX7" fmla="*/ 3463437 w 4564723"/>
            <a:gd name="connsiteY7" fmla="*/ 1067868 h 2159083"/>
            <a:gd name="connsiteX8" fmla="*/ 4496605 w 4564723"/>
            <a:gd name="connsiteY8" fmla="*/ 53699 h 2159083"/>
            <a:gd name="connsiteX9" fmla="*/ 4564723 w 4564723"/>
            <a:gd name="connsiteY9" fmla="*/ 87485 h 2159083"/>
            <a:gd name="connsiteX0" fmla="*/ 0 w 4564723"/>
            <a:gd name="connsiteY0" fmla="*/ 1122881 h 2159083"/>
            <a:gd name="connsiteX1" fmla="*/ 725640 w 4564723"/>
            <a:gd name="connsiteY1" fmla="*/ 359846 h 2159083"/>
            <a:gd name="connsiteX2" fmla="*/ 1308522 w 4564723"/>
            <a:gd name="connsiteY2" fmla="*/ 1505216 h 2159083"/>
            <a:gd name="connsiteX3" fmla="*/ 1773029 w 4564723"/>
            <a:gd name="connsiteY3" fmla="*/ 796643 h 2159083"/>
            <a:gd name="connsiteX4" fmla="*/ 1787938 w 4564723"/>
            <a:gd name="connsiteY4" fmla="*/ 795607 h 2159083"/>
            <a:gd name="connsiteX5" fmla="*/ 2357687 w 4564723"/>
            <a:gd name="connsiteY5" fmla="*/ 2159083 h 2159083"/>
            <a:gd name="connsiteX6" fmla="*/ 2944598 w 4564723"/>
            <a:gd name="connsiteY6" fmla="*/ 547973 h 2159083"/>
            <a:gd name="connsiteX7" fmla="*/ 3463437 w 4564723"/>
            <a:gd name="connsiteY7" fmla="*/ 1067868 h 2159083"/>
            <a:gd name="connsiteX8" fmla="*/ 4496605 w 4564723"/>
            <a:gd name="connsiteY8" fmla="*/ 53699 h 2159083"/>
            <a:gd name="connsiteX9" fmla="*/ 4564723 w 4564723"/>
            <a:gd name="connsiteY9" fmla="*/ 87485 h 2159083"/>
            <a:gd name="connsiteX0" fmla="*/ 0 w 4564723"/>
            <a:gd name="connsiteY0" fmla="*/ 1040439 h 2076641"/>
            <a:gd name="connsiteX1" fmla="*/ 725640 w 4564723"/>
            <a:gd name="connsiteY1" fmla="*/ 277404 h 2076641"/>
            <a:gd name="connsiteX2" fmla="*/ 1308522 w 4564723"/>
            <a:gd name="connsiteY2" fmla="*/ 1422774 h 2076641"/>
            <a:gd name="connsiteX3" fmla="*/ 1773029 w 4564723"/>
            <a:gd name="connsiteY3" fmla="*/ 714201 h 2076641"/>
            <a:gd name="connsiteX4" fmla="*/ 1787938 w 4564723"/>
            <a:gd name="connsiteY4" fmla="*/ 713165 h 2076641"/>
            <a:gd name="connsiteX5" fmla="*/ 2357687 w 4564723"/>
            <a:gd name="connsiteY5" fmla="*/ 2076641 h 2076641"/>
            <a:gd name="connsiteX6" fmla="*/ 2944598 w 4564723"/>
            <a:gd name="connsiteY6" fmla="*/ 465531 h 2076641"/>
            <a:gd name="connsiteX7" fmla="*/ 3463437 w 4564723"/>
            <a:gd name="connsiteY7" fmla="*/ 985426 h 2076641"/>
            <a:gd name="connsiteX8" fmla="*/ 4100024 w 4564723"/>
            <a:gd name="connsiteY8" fmla="*/ 1329774 h 2076641"/>
            <a:gd name="connsiteX9" fmla="*/ 4564723 w 4564723"/>
            <a:gd name="connsiteY9" fmla="*/ 5043 h 2076641"/>
            <a:gd name="connsiteX0" fmla="*/ 0 w 4564723"/>
            <a:gd name="connsiteY0" fmla="*/ 1039772 h 2075974"/>
            <a:gd name="connsiteX1" fmla="*/ 725640 w 4564723"/>
            <a:gd name="connsiteY1" fmla="*/ 276737 h 2075974"/>
            <a:gd name="connsiteX2" fmla="*/ 1308522 w 4564723"/>
            <a:gd name="connsiteY2" fmla="*/ 1422107 h 2075974"/>
            <a:gd name="connsiteX3" fmla="*/ 1773029 w 4564723"/>
            <a:gd name="connsiteY3" fmla="*/ 713534 h 2075974"/>
            <a:gd name="connsiteX4" fmla="*/ 1787938 w 4564723"/>
            <a:gd name="connsiteY4" fmla="*/ 712498 h 2075974"/>
            <a:gd name="connsiteX5" fmla="*/ 2357687 w 4564723"/>
            <a:gd name="connsiteY5" fmla="*/ 2075974 h 2075974"/>
            <a:gd name="connsiteX6" fmla="*/ 2944598 w 4564723"/>
            <a:gd name="connsiteY6" fmla="*/ 464864 h 2075974"/>
            <a:gd name="connsiteX7" fmla="*/ 3463437 w 4564723"/>
            <a:gd name="connsiteY7" fmla="*/ 984759 h 2075974"/>
            <a:gd name="connsiteX8" fmla="*/ 4100024 w 4564723"/>
            <a:gd name="connsiteY8" fmla="*/ 1542588 h 2075974"/>
            <a:gd name="connsiteX9" fmla="*/ 4564723 w 4564723"/>
            <a:gd name="connsiteY9" fmla="*/ 4376 h 2075974"/>
            <a:gd name="connsiteX0" fmla="*/ 0 w 4564723"/>
            <a:gd name="connsiteY0" fmla="*/ 1039772 h 2075974"/>
            <a:gd name="connsiteX1" fmla="*/ 725640 w 4564723"/>
            <a:gd name="connsiteY1" fmla="*/ 276737 h 2075974"/>
            <a:gd name="connsiteX2" fmla="*/ 1308522 w 4564723"/>
            <a:gd name="connsiteY2" fmla="*/ 1422107 h 2075974"/>
            <a:gd name="connsiteX3" fmla="*/ 1773029 w 4564723"/>
            <a:gd name="connsiteY3" fmla="*/ 713534 h 2075974"/>
            <a:gd name="connsiteX4" fmla="*/ 1787938 w 4564723"/>
            <a:gd name="connsiteY4" fmla="*/ 712498 h 2075974"/>
            <a:gd name="connsiteX5" fmla="*/ 2357687 w 4564723"/>
            <a:gd name="connsiteY5" fmla="*/ 2075974 h 2075974"/>
            <a:gd name="connsiteX6" fmla="*/ 2944598 w 4564723"/>
            <a:gd name="connsiteY6" fmla="*/ 464864 h 2075974"/>
            <a:gd name="connsiteX7" fmla="*/ 3463437 w 4564723"/>
            <a:gd name="connsiteY7" fmla="*/ 984759 h 2075974"/>
            <a:gd name="connsiteX8" fmla="*/ 4100024 w 4564723"/>
            <a:gd name="connsiteY8" fmla="*/ 1542588 h 2075974"/>
            <a:gd name="connsiteX9" fmla="*/ 4564723 w 4564723"/>
            <a:gd name="connsiteY9" fmla="*/ 4376 h 2075974"/>
            <a:gd name="connsiteX0" fmla="*/ 0 w 4564723"/>
            <a:gd name="connsiteY0" fmla="*/ 1039772 h 2075974"/>
            <a:gd name="connsiteX1" fmla="*/ 725640 w 4564723"/>
            <a:gd name="connsiteY1" fmla="*/ 276737 h 2075974"/>
            <a:gd name="connsiteX2" fmla="*/ 1308522 w 4564723"/>
            <a:gd name="connsiteY2" fmla="*/ 1422107 h 2075974"/>
            <a:gd name="connsiteX3" fmla="*/ 1773029 w 4564723"/>
            <a:gd name="connsiteY3" fmla="*/ 713534 h 2075974"/>
            <a:gd name="connsiteX4" fmla="*/ 1787938 w 4564723"/>
            <a:gd name="connsiteY4" fmla="*/ 712498 h 2075974"/>
            <a:gd name="connsiteX5" fmla="*/ 2357687 w 4564723"/>
            <a:gd name="connsiteY5" fmla="*/ 2075974 h 2075974"/>
            <a:gd name="connsiteX6" fmla="*/ 2944598 w 4564723"/>
            <a:gd name="connsiteY6" fmla="*/ 464864 h 2075974"/>
            <a:gd name="connsiteX7" fmla="*/ 3463437 w 4564723"/>
            <a:gd name="connsiteY7" fmla="*/ 984759 h 2075974"/>
            <a:gd name="connsiteX8" fmla="*/ 4100024 w 4564723"/>
            <a:gd name="connsiteY8" fmla="*/ 1542588 h 2075974"/>
            <a:gd name="connsiteX9" fmla="*/ 4564723 w 4564723"/>
            <a:gd name="connsiteY9" fmla="*/ 4376 h 2075974"/>
            <a:gd name="connsiteX0" fmla="*/ 0 w 4564723"/>
            <a:gd name="connsiteY0" fmla="*/ 1039481 h 2075683"/>
            <a:gd name="connsiteX1" fmla="*/ 725640 w 4564723"/>
            <a:gd name="connsiteY1" fmla="*/ 276446 h 2075683"/>
            <a:gd name="connsiteX2" fmla="*/ 1308522 w 4564723"/>
            <a:gd name="connsiteY2" fmla="*/ 1421816 h 2075683"/>
            <a:gd name="connsiteX3" fmla="*/ 1773029 w 4564723"/>
            <a:gd name="connsiteY3" fmla="*/ 713243 h 2075683"/>
            <a:gd name="connsiteX4" fmla="*/ 1787938 w 4564723"/>
            <a:gd name="connsiteY4" fmla="*/ 712207 h 2075683"/>
            <a:gd name="connsiteX5" fmla="*/ 2357687 w 4564723"/>
            <a:gd name="connsiteY5" fmla="*/ 2075683 h 2075683"/>
            <a:gd name="connsiteX6" fmla="*/ 2944598 w 4564723"/>
            <a:gd name="connsiteY6" fmla="*/ 464573 h 2075683"/>
            <a:gd name="connsiteX7" fmla="*/ 3463437 w 4564723"/>
            <a:gd name="connsiteY7" fmla="*/ 984468 h 2075683"/>
            <a:gd name="connsiteX8" fmla="*/ 4100024 w 4564723"/>
            <a:gd name="connsiteY8" fmla="*/ 1542297 h 2075683"/>
            <a:gd name="connsiteX9" fmla="*/ 4564723 w 4564723"/>
            <a:gd name="connsiteY9" fmla="*/ 4085 h 2075683"/>
            <a:gd name="connsiteX0" fmla="*/ 0 w 4564723"/>
            <a:gd name="connsiteY0" fmla="*/ 1039223 h 2075425"/>
            <a:gd name="connsiteX1" fmla="*/ 725640 w 4564723"/>
            <a:gd name="connsiteY1" fmla="*/ 276188 h 2075425"/>
            <a:gd name="connsiteX2" fmla="*/ 1308522 w 4564723"/>
            <a:gd name="connsiteY2" fmla="*/ 1421558 h 2075425"/>
            <a:gd name="connsiteX3" fmla="*/ 1773029 w 4564723"/>
            <a:gd name="connsiteY3" fmla="*/ 712985 h 2075425"/>
            <a:gd name="connsiteX4" fmla="*/ 1787938 w 4564723"/>
            <a:gd name="connsiteY4" fmla="*/ 711949 h 2075425"/>
            <a:gd name="connsiteX5" fmla="*/ 2357687 w 4564723"/>
            <a:gd name="connsiteY5" fmla="*/ 2075425 h 2075425"/>
            <a:gd name="connsiteX6" fmla="*/ 2944598 w 4564723"/>
            <a:gd name="connsiteY6" fmla="*/ 464315 h 2075425"/>
            <a:gd name="connsiteX7" fmla="*/ 3463437 w 4564723"/>
            <a:gd name="connsiteY7" fmla="*/ 984210 h 2075425"/>
            <a:gd name="connsiteX8" fmla="*/ 4061333 w 4564723"/>
            <a:gd name="connsiteY8" fmla="*/ 1658483 h 2075425"/>
            <a:gd name="connsiteX9" fmla="*/ 4564723 w 4564723"/>
            <a:gd name="connsiteY9" fmla="*/ 3827 h 2075425"/>
            <a:gd name="connsiteX0" fmla="*/ 0 w 4564723"/>
            <a:gd name="connsiteY0" fmla="*/ 1039223 h 2075425"/>
            <a:gd name="connsiteX1" fmla="*/ 725640 w 4564723"/>
            <a:gd name="connsiteY1" fmla="*/ 276188 h 2075425"/>
            <a:gd name="connsiteX2" fmla="*/ 1308522 w 4564723"/>
            <a:gd name="connsiteY2" fmla="*/ 1421558 h 2075425"/>
            <a:gd name="connsiteX3" fmla="*/ 1773029 w 4564723"/>
            <a:gd name="connsiteY3" fmla="*/ 712985 h 2075425"/>
            <a:gd name="connsiteX4" fmla="*/ 1787938 w 4564723"/>
            <a:gd name="connsiteY4" fmla="*/ 673134 h 2075425"/>
            <a:gd name="connsiteX5" fmla="*/ 2357687 w 4564723"/>
            <a:gd name="connsiteY5" fmla="*/ 2075425 h 2075425"/>
            <a:gd name="connsiteX6" fmla="*/ 2944598 w 4564723"/>
            <a:gd name="connsiteY6" fmla="*/ 464315 h 2075425"/>
            <a:gd name="connsiteX7" fmla="*/ 3463437 w 4564723"/>
            <a:gd name="connsiteY7" fmla="*/ 984210 h 2075425"/>
            <a:gd name="connsiteX8" fmla="*/ 4061333 w 4564723"/>
            <a:gd name="connsiteY8" fmla="*/ 1658483 h 2075425"/>
            <a:gd name="connsiteX9" fmla="*/ 4564723 w 4564723"/>
            <a:gd name="connsiteY9" fmla="*/ 3827 h 2075425"/>
            <a:gd name="connsiteX0" fmla="*/ 0 w 4564723"/>
            <a:gd name="connsiteY0" fmla="*/ 1039223 h 2075425"/>
            <a:gd name="connsiteX1" fmla="*/ 725640 w 4564723"/>
            <a:gd name="connsiteY1" fmla="*/ 276188 h 2075425"/>
            <a:gd name="connsiteX2" fmla="*/ 1308522 w 4564723"/>
            <a:gd name="connsiteY2" fmla="*/ 1421558 h 2075425"/>
            <a:gd name="connsiteX3" fmla="*/ 1773029 w 4564723"/>
            <a:gd name="connsiteY3" fmla="*/ 712985 h 2075425"/>
            <a:gd name="connsiteX4" fmla="*/ 1778266 w 4564723"/>
            <a:gd name="connsiteY4" fmla="*/ 644023 h 2075425"/>
            <a:gd name="connsiteX5" fmla="*/ 2357687 w 4564723"/>
            <a:gd name="connsiteY5" fmla="*/ 2075425 h 2075425"/>
            <a:gd name="connsiteX6" fmla="*/ 2944598 w 4564723"/>
            <a:gd name="connsiteY6" fmla="*/ 464315 h 2075425"/>
            <a:gd name="connsiteX7" fmla="*/ 3463437 w 4564723"/>
            <a:gd name="connsiteY7" fmla="*/ 984210 h 2075425"/>
            <a:gd name="connsiteX8" fmla="*/ 4061333 w 4564723"/>
            <a:gd name="connsiteY8" fmla="*/ 1658483 h 2075425"/>
            <a:gd name="connsiteX9" fmla="*/ 4564723 w 4564723"/>
            <a:gd name="connsiteY9" fmla="*/ 3827 h 2075425"/>
            <a:gd name="connsiteX0" fmla="*/ 0 w 4564723"/>
            <a:gd name="connsiteY0" fmla="*/ 1039223 h 2075425"/>
            <a:gd name="connsiteX1" fmla="*/ 725640 w 4564723"/>
            <a:gd name="connsiteY1" fmla="*/ 276188 h 2075425"/>
            <a:gd name="connsiteX2" fmla="*/ 1308522 w 4564723"/>
            <a:gd name="connsiteY2" fmla="*/ 1421558 h 2075425"/>
            <a:gd name="connsiteX3" fmla="*/ 1782701 w 4564723"/>
            <a:gd name="connsiteY3" fmla="*/ 712985 h 2075425"/>
            <a:gd name="connsiteX4" fmla="*/ 1778266 w 4564723"/>
            <a:gd name="connsiteY4" fmla="*/ 644023 h 2075425"/>
            <a:gd name="connsiteX5" fmla="*/ 2357687 w 4564723"/>
            <a:gd name="connsiteY5" fmla="*/ 2075425 h 2075425"/>
            <a:gd name="connsiteX6" fmla="*/ 2944598 w 4564723"/>
            <a:gd name="connsiteY6" fmla="*/ 464315 h 2075425"/>
            <a:gd name="connsiteX7" fmla="*/ 3463437 w 4564723"/>
            <a:gd name="connsiteY7" fmla="*/ 984210 h 2075425"/>
            <a:gd name="connsiteX8" fmla="*/ 4061333 w 4564723"/>
            <a:gd name="connsiteY8" fmla="*/ 1658483 h 2075425"/>
            <a:gd name="connsiteX9" fmla="*/ 4564723 w 4564723"/>
            <a:gd name="connsiteY9" fmla="*/ 3827 h 2075425"/>
            <a:gd name="connsiteX0" fmla="*/ 0 w 4564723"/>
            <a:gd name="connsiteY0" fmla="*/ 1039223 h 2075425"/>
            <a:gd name="connsiteX1" fmla="*/ 725640 w 4564723"/>
            <a:gd name="connsiteY1" fmla="*/ 276188 h 2075425"/>
            <a:gd name="connsiteX2" fmla="*/ 1308522 w 4564723"/>
            <a:gd name="connsiteY2" fmla="*/ 1421558 h 2075425"/>
            <a:gd name="connsiteX3" fmla="*/ 1782701 w 4564723"/>
            <a:gd name="connsiteY3" fmla="*/ 712985 h 2075425"/>
            <a:gd name="connsiteX4" fmla="*/ 1778266 w 4564723"/>
            <a:gd name="connsiteY4" fmla="*/ 702245 h 2075425"/>
            <a:gd name="connsiteX5" fmla="*/ 2357687 w 4564723"/>
            <a:gd name="connsiteY5" fmla="*/ 2075425 h 2075425"/>
            <a:gd name="connsiteX6" fmla="*/ 2944598 w 4564723"/>
            <a:gd name="connsiteY6" fmla="*/ 464315 h 2075425"/>
            <a:gd name="connsiteX7" fmla="*/ 3463437 w 4564723"/>
            <a:gd name="connsiteY7" fmla="*/ 984210 h 2075425"/>
            <a:gd name="connsiteX8" fmla="*/ 4061333 w 4564723"/>
            <a:gd name="connsiteY8" fmla="*/ 1658483 h 2075425"/>
            <a:gd name="connsiteX9" fmla="*/ 4564723 w 4564723"/>
            <a:gd name="connsiteY9" fmla="*/ 3827 h 2075425"/>
            <a:gd name="connsiteX0" fmla="*/ 0 w 4564723"/>
            <a:gd name="connsiteY0" fmla="*/ 1039223 h 2094832"/>
            <a:gd name="connsiteX1" fmla="*/ 725640 w 4564723"/>
            <a:gd name="connsiteY1" fmla="*/ 276188 h 2094832"/>
            <a:gd name="connsiteX2" fmla="*/ 1308522 w 4564723"/>
            <a:gd name="connsiteY2" fmla="*/ 1421558 h 2094832"/>
            <a:gd name="connsiteX3" fmla="*/ 1782701 w 4564723"/>
            <a:gd name="connsiteY3" fmla="*/ 712985 h 2094832"/>
            <a:gd name="connsiteX4" fmla="*/ 1778266 w 4564723"/>
            <a:gd name="connsiteY4" fmla="*/ 702245 h 2094832"/>
            <a:gd name="connsiteX5" fmla="*/ 2734923 w 4564723"/>
            <a:gd name="connsiteY5" fmla="*/ 2094832 h 2094832"/>
            <a:gd name="connsiteX6" fmla="*/ 2944598 w 4564723"/>
            <a:gd name="connsiteY6" fmla="*/ 464315 h 2094832"/>
            <a:gd name="connsiteX7" fmla="*/ 3463437 w 4564723"/>
            <a:gd name="connsiteY7" fmla="*/ 984210 h 2094832"/>
            <a:gd name="connsiteX8" fmla="*/ 4061333 w 4564723"/>
            <a:gd name="connsiteY8" fmla="*/ 1658483 h 2094832"/>
            <a:gd name="connsiteX9" fmla="*/ 4564723 w 4564723"/>
            <a:gd name="connsiteY9" fmla="*/ 3827 h 2094832"/>
            <a:gd name="connsiteX0" fmla="*/ 0 w 4564723"/>
            <a:gd name="connsiteY0" fmla="*/ 1039223 h 2211276"/>
            <a:gd name="connsiteX1" fmla="*/ 725640 w 4564723"/>
            <a:gd name="connsiteY1" fmla="*/ 276188 h 2211276"/>
            <a:gd name="connsiteX2" fmla="*/ 1308522 w 4564723"/>
            <a:gd name="connsiteY2" fmla="*/ 1421558 h 2211276"/>
            <a:gd name="connsiteX3" fmla="*/ 1782701 w 4564723"/>
            <a:gd name="connsiteY3" fmla="*/ 712985 h 2211276"/>
            <a:gd name="connsiteX4" fmla="*/ 1778266 w 4564723"/>
            <a:gd name="connsiteY4" fmla="*/ 702245 h 2211276"/>
            <a:gd name="connsiteX5" fmla="*/ 2696232 w 4564723"/>
            <a:gd name="connsiteY5" fmla="*/ 2211276 h 2211276"/>
            <a:gd name="connsiteX6" fmla="*/ 2944598 w 4564723"/>
            <a:gd name="connsiteY6" fmla="*/ 464315 h 2211276"/>
            <a:gd name="connsiteX7" fmla="*/ 3463437 w 4564723"/>
            <a:gd name="connsiteY7" fmla="*/ 984210 h 2211276"/>
            <a:gd name="connsiteX8" fmla="*/ 4061333 w 4564723"/>
            <a:gd name="connsiteY8" fmla="*/ 1658483 h 2211276"/>
            <a:gd name="connsiteX9" fmla="*/ 4564723 w 4564723"/>
            <a:gd name="connsiteY9" fmla="*/ 3827 h 2211276"/>
            <a:gd name="connsiteX0" fmla="*/ 0 w 4564723"/>
            <a:gd name="connsiteY0" fmla="*/ 1039223 h 2143350"/>
            <a:gd name="connsiteX1" fmla="*/ 725640 w 4564723"/>
            <a:gd name="connsiteY1" fmla="*/ 276188 h 2143350"/>
            <a:gd name="connsiteX2" fmla="*/ 1308522 w 4564723"/>
            <a:gd name="connsiteY2" fmla="*/ 1421558 h 2143350"/>
            <a:gd name="connsiteX3" fmla="*/ 1782701 w 4564723"/>
            <a:gd name="connsiteY3" fmla="*/ 712985 h 2143350"/>
            <a:gd name="connsiteX4" fmla="*/ 1778266 w 4564723"/>
            <a:gd name="connsiteY4" fmla="*/ 702245 h 2143350"/>
            <a:gd name="connsiteX5" fmla="*/ 3092814 w 4564723"/>
            <a:gd name="connsiteY5" fmla="*/ 2143350 h 2143350"/>
            <a:gd name="connsiteX6" fmla="*/ 2944598 w 4564723"/>
            <a:gd name="connsiteY6" fmla="*/ 464315 h 2143350"/>
            <a:gd name="connsiteX7" fmla="*/ 3463437 w 4564723"/>
            <a:gd name="connsiteY7" fmla="*/ 984210 h 2143350"/>
            <a:gd name="connsiteX8" fmla="*/ 4061333 w 4564723"/>
            <a:gd name="connsiteY8" fmla="*/ 1658483 h 2143350"/>
            <a:gd name="connsiteX9" fmla="*/ 4564723 w 4564723"/>
            <a:gd name="connsiteY9" fmla="*/ 3827 h 2143350"/>
            <a:gd name="connsiteX0" fmla="*/ 0 w 4564723"/>
            <a:gd name="connsiteY0" fmla="*/ 1039223 h 2191868"/>
            <a:gd name="connsiteX1" fmla="*/ 725640 w 4564723"/>
            <a:gd name="connsiteY1" fmla="*/ 276188 h 2191868"/>
            <a:gd name="connsiteX2" fmla="*/ 1308522 w 4564723"/>
            <a:gd name="connsiteY2" fmla="*/ 1421558 h 2191868"/>
            <a:gd name="connsiteX3" fmla="*/ 1782701 w 4564723"/>
            <a:gd name="connsiteY3" fmla="*/ 712985 h 2191868"/>
            <a:gd name="connsiteX4" fmla="*/ 1778266 w 4564723"/>
            <a:gd name="connsiteY4" fmla="*/ 702245 h 2191868"/>
            <a:gd name="connsiteX5" fmla="*/ 3092814 w 4564723"/>
            <a:gd name="connsiteY5" fmla="*/ 2191868 h 2191868"/>
            <a:gd name="connsiteX6" fmla="*/ 2944598 w 4564723"/>
            <a:gd name="connsiteY6" fmla="*/ 464315 h 2191868"/>
            <a:gd name="connsiteX7" fmla="*/ 3463437 w 4564723"/>
            <a:gd name="connsiteY7" fmla="*/ 984210 h 2191868"/>
            <a:gd name="connsiteX8" fmla="*/ 4061333 w 4564723"/>
            <a:gd name="connsiteY8" fmla="*/ 1658483 h 2191868"/>
            <a:gd name="connsiteX9" fmla="*/ 4564723 w 4564723"/>
            <a:gd name="connsiteY9" fmla="*/ 3827 h 2191868"/>
            <a:gd name="connsiteX0" fmla="*/ 0 w 4564723"/>
            <a:gd name="connsiteY0" fmla="*/ 1039223 h 2065720"/>
            <a:gd name="connsiteX1" fmla="*/ 725640 w 4564723"/>
            <a:gd name="connsiteY1" fmla="*/ 276188 h 2065720"/>
            <a:gd name="connsiteX2" fmla="*/ 1308522 w 4564723"/>
            <a:gd name="connsiteY2" fmla="*/ 1421558 h 2065720"/>
            <a:gd name="connsiteX3" fmla="*/ 1782701 w 4564723"/>
            <a:gd name="connsiteY3" fmla="*/ 712985 h 2065720"/>
            <a:gd name="connsiteX4" fmla="*/ 1778266 w 4564723"/>
            <a:gd name="connsiteY4" fmla="*/ 702245 h 2065720"/>
            <a:gd name="connsiteX5" fmla="*/ 3798923 w 4564723"/>
            <a:gd name="connsiteY5" fmla="*/ 2065720 h 2065720"/>
            <a:gd name="connsiteX6" fmla="*/ 2944598 w 4564723"/>
            <a:gd name="connsiteY6" fmla="*/ 464315 h 2065720"/>
            <a:gd name="connsiteX7" fmla="*/ 3463437 w 4564723"/>
            <a:gd name="connsiteY7" fmla="*/ 984210 h 2065720"/>
            <a:gd name="connsiteX8" fmla="*/ 4061333 w 4564723"/>
            <a:gd name="connsiteY8" fmla="*/ 1658483 h 2065720"/>
            <a:gd name="connsiteX9" fmla="*/ 4564723 w 4564723"/>
            <a:gd name="connsiteY9" fmla="*/ 3827 h 2065720"/>
            <a:gd name="connsiteX0" fmla="*/ 0 w 4564723"/>
            <a:gd name="connsiteY0" fmla="*/ 1039223 h 2065720"/>
            <a:gd name="connsiteX1" fmla="*/ 725640 w 4564723"/>
            <a:gd name="connsiteY1" fmla="*/ 276188 h 2065720"/>
            <a:gd name="connsiteX2" fmla="*/ 1308522 w 4564723"/>
            <a:gd name="connsiteY2" fmla="*/ 1421558 h 2065720"/>
            <a:gd name="connsiteX3" fmla="*/ 1782701 w 4564723"/>
            <a:gd name="connsiteY3" fmla="*/ 712985 h 2065720"/>
            <a:gd name="connsiteX4" fmla="*/ 1778266 w 4564723"/>
            <a:gd name="connsiteY4" fmla="*/ 702245 h 2065720"/>
            <a:gd name="connsiteX5" fmla="*/ 3837614 w 4564723"/>
            <a:gd name="connsiteY5" fmla="*/ 2065720 h 2065720"/>
            <a:gd name="connsiteX6" fmla="*/ 2944598 w 4564723"/>
            <a:gd name="connsiteY6" fmla="*/ 464315 h 2065720"/>
            <a:gd name="connsiteX7" fmla="*/ 3463437 w 4564723"/>
            <a:gd name="connsiteY7" fmla="*/ 984210 h 2065720"/>
            <a:gd name="connsiteX8" fmla="*/ 4061333 w 4564723"/>
            <a:gd name="connsiteY8" fmla="*/ 1658483 h 2065720"/>
            <a:gd name="connsiteX9" fmla="*/ 4564723 w 4564723"/>
            <a:gd name="connsiteY9" fmla="*/ 3827 h 2065720"/>
            <a:gd name="connsiteX0" fmla="*/ 0 w 4564723"/>
            <a:gd name="connsiteY0" fmla="*/ 1039223 h 2191868"/>
            <a:gd name="connsiteX1" fmla="*/ 725640 w 4564723"/>
            <a:gd name="connsiteY1" fmla="*/ 276188 h 2191868"/>
            <a:gd name="connsiteX2" fmla="*/ 1308522 w 4564723"/>
            <a:gd name="connsiteY2" fmla="*/ 1421558 h 2191868"/>
            <a:gd name="connsiteX3" fmla="*/ 1782701 w 4564723"/>
            <a:gd name="connsiteY3" fmla="*/ 712985 h 2191868"/>
            <a:gd name="connsiteX4" fmla="*/ 1778266 w 4564723"/>
            <a:gd name="connsiteY4" fmla="*/ 702245 h 2191868"/>
            <a:gd name="connsiteX5" fmla="*/ 2880014 w 4564723"/>
            <a:gd name="connsiteY5" fmla="*/ 2191868 h 2191868"/>
            <a:gd name="connsiteX6" fmla="*/ 2944598 w 4564723"/>
            <a:gd name="connsiteY6" fmla="*/ 464315 h 2191868"/>
            <a:gd name="connsiteX7" fmla="*/ 3463437 w 4564723"/>
            <a:gd name="connsiteY7" fmla="*/ 984210 h 2191868"/>
            <a:gd name="connsiteX8" fmla="*/ 4061333 w 4564723"/>
            <a:gd name="connsiteY8" fmla="*/ 1658483 h 2191868"/>
            <a:gd name="connsiteX9" fmla="*/ 4564723 w 4564723"/>
            <a:gd name="connsiteY9" fmla="*/ 3827 h 2191868"/>
            <a:gd name="connsiteX0" fmla="*/ 0 w 4564723"/>
            <a:gd name="connsiteY0" fmla="*/ 1039223 h 2253547"/>
            <a:gd name="connsiteX1" fmla="*/ 725640 w 4564723"/>
            <a:gd name="connsiteY1" fmla="*/ 276188 h 2253547"/>
            <a:gd name="connsiteX2" fmla="*/ 1308522 w 4564723"/>
            <a:gd name="connsiteY2" fmla="*/ 1421558 h 2253547"/>
            <a:gd name="connsiteX3" fmla="*/ 1782701 w 4564723"/>
            <a:gd name="connsiteY3" fmla="*/ 712985 h 2253547"/>
            <a:gd name="connsiteX4" fmla="*/ 1778266 w 4564723"/>
            <a:gd name="connsiteY4" fmla="*/ 702245 h 2253547"/>
            <a:gd name="connsiteX5" fmla="*/ 2596054 w 4564723"/>
            <a:gd name="connsiteY5" fmla="*/ 2253547 h 2253547"/>
            <a:gd name="connsiteX6" fmla="*/ 2944598 w 4564723"/>
            <a:gd name="connsiteY6" fmla="*/ 464315 h 2253547"/>
            <a:gd name="connsiteX7" fmla="*/ 3463437 w 4564723"/>
            <a:gd name="connsiteY7" fmla="*/ 984210 h 2253547"/>
            <a:gd name="connsiteX8" fmla="*/ 4061333 w 4564723"/>
            <a:gd name="connsiteY8" fmla="*/ 1658483 h 2253547"/>
            <a:gd name="connsiteX9" fmla="*/ 4564723 w 4564723"/>
            <a:gd name="connsiteY9" fmla="*/ 3827 h 2253547"/>
            <a:gd name="connsiteX0" fmla="*/ 0 w 4564723"/>
            <a:gd name="connsiteY0" fmla="*/ 1039223 h 1924594"/>
            <a:gd name="connsiteX1" fmla="*/ 725640 w 4564723"/>
            <a:gd name="connsiteY1" fmla="*/ 276188 h 1924594"/>
            <a:gd name="connsiteX2" fmla="*/ 1308522 w 4564723"/>
            <a:gd name="connsiteY2" fmla="*/ 1421558 h 1924594"/>
            <a:gd name="connsiteX3" fmla="*/ 1782701 w 4564723"/>
            <a:gd name="connsiteY3" fmla="*/ 712985 h 1924594"/>
            <a:gd name="connsiteX4" fmla="*/ 1778266 w 4564723"/>
            <a:gd name="connsiteY4" fmla="*/ 702245 h 1924594"/>
            <a:gd name="connsiteX5" fmla="*/ 3856562 w 4564723"/>
            <a:gd name="connsiteY5" fmla="*/ 1924594 h 1924594"/>
            <a:gd name="connsiteX6" fmla="*/ 2944598 w 4564723"/>
            <a:gd name="connsiteY6" fmla="*/ 464315 h 1924594"/>
            <a:gd name="connsiteX7" fmla="*/ 3463437 w 4564723"/>
            <a:gd name="connsiteY7" fmla="*/ 984210 h 1924594"/>
            <a:gd name="connsiteX8" fmla="*/ 4061333 w 4564723"/>
            <a:gd name="connsiteY8" fmla="*/ 1658483 h 1924594"/>
            <a:gd name="connsiteX9" fmla="*/ 4564723 w 4564723"/>
            <a:gd name="connsiteY9" fmla="*/ 3827 h 1924594"/>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78266 w 4564723"/>
            <a:gd name="connsiteY4" fmla="*/ 702245 h 1658849"/>
            <a:gd name="connsiteX5" fmla="*/ 1861912 w 4564723"/>
            <a:gd name="connsiteY5" fmla="*/ 718432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78266 w 4564723"/>
            <a:gd name="connsiteY4" fmla="*/ 702245 h 1658849"/>
            <a:gd name="connsiteX5" fmla="*/ 1834208 w 4564723"/>
            <a:gd name="connsiteY5" fmla="*/ 725286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78266 w 4564723"/>
            <a:gd name="connsiteY4" fmla="*/ 702245 h 1658849"/>
            <a:gd name="connsiteX5" fmla="*/ 1744171 w 4564723"/>
            <a:gd name="connsiteY5" fmla="*/ 711580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99044 w 4564723"/>
            <a:gd name="connsiteY4" fmla="*/ 715951 h 1658849"/>
            <a:gd name="connsiteX5" fmla="*/ 1744171 w 4564723"/>
            <a:gd name="connsiteY5" fmla="*/ 711580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1744171 w 4564723"/>
            <a:gd name="connsiteY5" fmla="*/ 711580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1785727 w 4564723"/>
            <a:gd name="connsiteY5" fmla="*/ 766406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014281 w 4564723"/>
            <a:gd name="connsiteY5" fmla="*/ 965148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1924245 w 4564723"/>
            <a:gd name="connsiteY5" fmla="*/ 1088505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000429 w 4564723"/>
            <a:gd name="connsiteY5" fmla="*/ 1040532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74917 h 1694543"/>
            <a:gd name="connsiteX1" fmla="*/ 725640 w 4564723"/>
            <a:gd name="connsiteY1" fmla="*/ 311882 h 1694543"/>
            <a:gd name="connsiteX2" fmla="*/ 1308522 w 4564723"/>
            <a:gd name="connsiteY2" fmla="*/ 1457252 h 1694543"/>
            <a:gd name="connsiteX3" fmla="*/ 1782701 w 4564723"/>
            <a:gd name="connsiteY3" fmla="*/ 748679 h 1694543"/>
            <a:gd name="connsiteX4" fmla="*/ 1750563 w 4564723"/>
            <a:gd name="connsiteY4" fmla="*/ 724233 h 1694543"/>
            <a:gd name="connsiteX5" fmla="*/ 2970050 w 4564723"/>
            <a:gd name="connsiteY5" fmla="*/ 276 h 1694543"/>
            <a:gd name="connsiteX6" fmla="*/ 2944598 w 4564723"/>
            <a:gd name="connsiteY6" fmla="*/ 500009 h 1694543"/>
            <a:gd name="connsiteX7" fmla="*/ 3463437 w 4564723"/>
            <a:gd name="connsiteY7" fmla="*/ 1019904 h 1694543"/>
            <a:gd name="connsiteX8" fmla="*/ 4061333 w 4564723"/>
            <a:gd name="connsiteY8" fmla="*/ 1694177 h 1694543"/>
            <a:gd name="connsiteX9" fmla="*/ 4564723 w 4564723"/>
            <a:gd name="connsiteY9" fmla="*/ 39521 h 1694543"/>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970050 w 4564723"/>
            <a:gd name="connsiteY5" fmla="*/ 293536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949272 w 4564723"/>
            <a:gd name="connsiteY5" fmla="*/ 492278 h 1658849"/>
            <a:gd name="connsiteX6" fmla="*/ 2944598 w 4564723"/>
            <a:gd name="connsiteY6" fmla="*/ 464315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949272 w 4564723"/>
            <a:gd name="connsiteY5" fmla="*/ 492278 h 1658849"/>
            <a:gd name="connsiteX6" fmla="*/ 2889191 w 4564723"/>
            <a:gd name="connsiteY6" fmla="*/ 1410054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889191 w 4564723"/>
            <a:gd name="connsiteY5" fmla="*/ 1410054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951524 w 4564723"/>
            <a:gd name="connsiteY5" fmla="*/ 491726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951524 w 4564723"/>
            <a:gd name="connsiteY5" fmla="*/ 491726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951524 w 4564723"/>
            <a:gd name="connsiteY5" fmla="*/ 491726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2944599 w 4564723"/>
            <a:gd name="connsiteY5" fmla="*/ 436901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3214707 w 4564723"/>
            <a:gd name="connsiteY5" fmla="*/ 717881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82701 w 4564723"/>
            <a:gd name="connsiteY3" fmla="*/ 712985 h 1658849"/>
            <a:gd name="connsiteX4" fmla="*/ 1750563 w 4564723"/>
            <a:gd name="connsiteY4" fmla="*/ 688539 h 1658849"/>
            <a:gd name="connsiteX5" fmla="*/ 3214707 w 4564723"/>
            <a:gd name="connsiteY5" fmla="*/ 717881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54997 w 4564723"/>
            <a:gd name="connsiteY3" fmla="*/ 678719 h 1658849"/>
            <a:gd name="connsiteX4" fmla="*/ 1750563 w 4564723"/>
            <a:gd name="connsiteY4" fmla="*/ 688539 h 1658849"/>
            <a:gd name="connsiteX5" fmla="*/ 3214707 w 4564723"/>
            <a:gd name="connsiteY5" fmla="*/ 717881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754997 w 4564723"/>
            <a:gd name="connsiteY3" fmla="*/ 678719 h 1658849"/>
            <a:gd name="connsiteX4" fmla="*/ 1743638 w 4564723"/>
            <a:gd name="connsiteY4" fmla="*/ 688539 h 1658849"/>
            <a:gd name="connsiteX5" fmla="*/ 3214707 w 4564723"/>
            <a:gd name="connsiteY5" fmla="*/ 717881 h 1658849"/>
            <a:gd name="connsiteX6" fmla="*/ 3463437 w 4564723"/>
            <a:gd name="connsiteY6" fmla="*/ 984210 h 1658849"/>
            <a:gd name="connsiteX7" fmla="*/ 4061333 w 4564723"/>
            <a:gd name="connsiteY7" fmla="*/ 1658483 h 1658849"/>
            <a:gd name="connsiteX8" fmla="*/ 4564723 w 4564723"/>
            <a:gd name="connsiteY8" fmla="*/ 3827 h 1658849"/>
            <a:gd name="connsiteX0" fmla="*/ 0 w 4564723"/>
            <a:gd name="connsiteY0" fmla="*/ 1104535 h 1724161"/>
            <a:gd name="connsiteX1" fmla="*/ 725640 w 4564723"/>
            <a:gd name="connsiteY1" fmla="*/ 341500 h 1724161"/>
            <a:gd name="connsiteX2" fmla="*/ 1308522 w 4564723"/>
            <a:gd name="connsiteY2" fmla="*/ 1486870 h 1724161"/>
            <a:gd name="connsiteX3" fmla="*/ 1754997 w 4564723"/>
            <a:gd name="connsiteY3" fmla="*/ 744031 h 1724161"/>
            <a:gd name="connsiteX4" fmla="*/ 1542788 w 4564723"/>
            <a:gd name="connsiteY4" fmla="*/ 0 h 1724161"/>
            <a:gd name="connsiteX5" fmla="*/ 3214707 w 4564723"/>
            <a:gd name="connsiteY5" fmla="*/ 783193 h 1724161"/>
            <a:gd name="connsiteX6" fmla="*/ 3463437 w 4564723"/>
            <a:gd name="connsiteY6" fmla="*/ 1049522 h 1724161"/>
            <a:gd name="connsiteX7" fmla="*/ 4061333 w 4564723"/>
            <a:gd name="connsiteY7" fmla="*/ 1723795 h 1724161"/>
            <a:gd name="connsiteX8" fmla="*/ 4564723 w 4564723"/>
            <a:gd name="connsiteY8" fmla="*/ 69139 h 1724161"/>
            <a:gd name="connsiteX0" fmla="*/ 0 w 4564723"/>
            <a:gd name="connsiteY0" fmla="*/ 1104535 h 1724161"/>
            <a:gd name="connsiteX1" fmla="*/ 725640 w 4564723"/>
            <a:gd name="connsiteY1" fmla="*/ 341500 h 1724161"/>
            <a:gd name="connsiteX2" fmla="*/ 1308522 w 4564723"/>
            <a:gd name="connsiteY2" fmla="*/ 1486870 h 1724161"/>
            <a:gd name="connsiteX3" fmla="*/ 1581850 w 4564723"/>
            <a:gd name="connsiteY3" fmla="*/ 175217 h 1724161"/>
            <a:gd name="connsiteX4" fmla="*/ 1542788 w 4564723"/>
            <a:gd name="connsiteY4" fmla="*/ 0 h 1724161"/>
            <a:gd name="connsiteX5" fmla="*/ 3214707 w 4564723"/>
            <a:gd name="connsiteY5" fmla="*/ 783193 h 1724161"/>
            <a:gd name="connsiteX6" fmla="*/ 3463437 w 4564723"/>
            <a:gd name="connsiteY6" fmla="*/ 1049522 h 1724161"/>
            <a:gd name="connsiteX7" fmla="*/ 4061333 w 4564723"/>
            <a:gd name="connsiteY7" fmla="*/ 1723795 h 1724161"/>
            <a:gd name="connsiteX8" fmla="*/ 4564723 w 4564723"/>
            <a:gd name="connsiteY8" fmla="*/ 69139 h 1724161"/>
            <a:gd name="connsiteX0" fmla="*/ 0 w 4564723"/>
            <a:gd name="connsiteY0" fmla="*/ 1133626 h 1753252"/>
            <a:gd name="connsiteX1" fmla="*/ 725640 w 4564723"/>
            <a:gd name="connsiteY1" fmla="*/ 370591 h 1753252"/>
            <a:gd name="connsiteX2" fmla="*/ 1308522 w 4564723"/>
            <a:gd name="connsiteY2" fmla="*/ 1515961 h 1753252"/>
            <a:gd name="connsiteX3" fmla="*/ 1581850 w 4564723"/>
            <a:gd name="connsiteY3" fmla="*/ 204308 h 1753252"/>
            <a:gd name="connsiteX4" fmla="*/ 1583118 w 4564723"/>
            <a:gd name="connsiteY4" fmla="*/ 233635 h 1753252"/>
            <a:gd name="connsiteX5" fmla="*/ 1542788 w 4564723"/>
            <a:gd name="connsiteY5" fmla="*/ 29091 h 1753252"/>
            <a:gd name="connsiteX6" fmla="*/ 3214707 w 4564723"/>
            <a:gd name="connsiteY6" fmla="*/ 812284 h 1753252"/>
            <a:gd name="connsiteX7" fmla="*/ 3463437 w 4564723"/>
            <a:gd name="connsiteY7" fmla="*/ 1078613 h 1753252"/>
            <a:gd name="connsiteX8" fmla="*/ 4061333 w 4564723"/>
            <a:gd name="connsiteY8" fmla="*/ 1752886 h 1753252"/>
            <a:gd name="connsiteX9" fmla="*/ 4564723 w 4564723"/>
            <a:gd name="connsiteY9" fmla="*/ 98230 h 1753252"/>
            <a:gd name="connsiteX0" fmla="*/ 0 w 4564723"/>
            <a:gd name="connsiteY0" fmla="*/ 1039224 h 1658850"/>
            <a:gd name="connsiteX1" fmla="*/ 725640 w 4564723"/>
            <a:gd name="connsiteY1" fmla="*/ 276189 h 1658850"/>
            <a:gd name="connsiteX2" fmla="*/ 1308522 w 4564723"/>
            <a:gd name="connsiteY2" fmla="*/ 1421559 h 1658850"/>
            <a:gd name="connsiteX3" fmla="*/ 1581850 w 4564723"/>
            <a:gd name="connsiteY3" fmla="*/ 109906 h 1658850"/>
            <a:gd name="connsiteX4" fmla="*/ 1583118 w 4564723"/>
            <a:gd name="connsiteY4" fmla="*/ 139233 h 1658850"/>
            <a:gd name="connsiteX5" fmla="*/ 1570491 w 4564723"/>
            <a:gd name="connsiteY5" fmla="*/ 133432 h 1658850"/>
            <a:gd name="connsiteX6" fmla="*/ 3214707 w 4564723"/>
            <a:gd name="connsiteY6" fmla="*/ 717882 h 1658850"/>
            <a:gd name="connsiteX7" fmla="*/ 3463437 w 4564723"/>
            <a:gd name="connsiteY7" fmla="*/ 984211 h 1658850"/>
            <a:gd name="connsiteX8" fmla="*/ 4061333 w 4564723"/>
            <a:gd name="connsiteY8" fmla="*/ 1658484 h 1658850"/>
            <a:gd name="connsiteX9" fmla="*/ 4564723 w 4564723"/>
            <a:gd name="connsiteY9" fmla="*/ 3828 h 1658850"/>
            <a:gd name="connsiteX0" fmla="*/ 0 w 4564723"/>
            <a:gd name="connsiteY0" fmla="*/ 1039223 h 1658849"/>
            <a:gd name="connsiteX1" fmla="*/ 725640 w 4564723"/>
            <a:gd name="connsiteY1" fmla="*/ 276188 h 1658849"/>
            <a:gd name="connsiteX2" fmla="*/ 1308522 w 4564723"/>
            <a:gd name="connsiteY2" fmla="*/ 1421558 h 1658849"/>
            <a:gd name="connsiteX3" fmla="*/ 1581850 w 4564723"/>
            <a:gd name="connsiteY3" fmla="*/ 109905 h 1658849"/>
            <a:gd name="connsiteX4" fmla="*/ 1583118 w 4564723"/>
            <a:gd name="connsiteY4" fmla="*/ 139232 h 1658849"/>
            <a:gd name="connsiteX5" fmla="*/ 1570491 w 4564723"/>
            <a:gd name="connsiteY5" fmla="*/ 133431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581850 w 4564723"/>
            <a:gd name="connsiteY3" fmla="*/ 109905 h 1658849"/>
            <a:gd name="connsiteX4" fmla="*/ 1583118 w 4564723"/>
            <a:gd name="connsiteY4" fmla="*/ 139232 h 1658849"/>
            <a:gd name="connsiteX5" fmla="*/ 2159190 w 4564723"/>
            <a:gd name="connsiteY5" fmla="*/ 1127144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581850 w 4564723"/>
            <a:gd name="connsiteY3" fmla="*/ 109905 h 1658849"/>
            <a:gd name="connsiteX4" fmla="*/ 2151039 w 4564723"/>
            <a:gd name="connsiteY4" fmla="*/ 1098679 h 1658849"/>
            <a:gd name="connsiteX5" fmla="*/ 2159190 w 4564723"/>
            <a:gd name="connsiteY5" fmla="*/ 1127144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63623 w 4564723"/>
            <a:gd name="connsiteY3" fmla="*/ 1117324 h 1658849"/>
            <a:gd name="connsiteX4" fmla="*/ 2151039 w 4564723"/>
            <a:gd name="connsiteY4" fmla="*/ 1098679 h 1658849"/>
            <a:gd name="connsiteX5" fmla="*/ 2159190 w 4564723"/>
            <a:gd name="connsiteY5" fmla="*/ 1127144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63623 w 4564723"/>
            <a:gd name="connsiteY3" fmla="*/ 1117324 h 1658849"/>
            <a:gd name="connsiteX4" fmla="*/ 2151039 w 4564723"/>
            <a:gd name="connsiteY4" fmla="*/ 1098679 h 1658849"/>
            <a:gd name="connsiteX5" fmla="*/ 2159190 w 4564723"/>
            <a:gd name="connsiteY5" fmla="*/ 1127144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63623 w 4564723"/>
            <a:gd name="connsiteY3" fmla="*/ 1117324 h 1658849"/>
            <a:gd name="connsiteX4" fmla="*/ 2151039 w 4564723"/>
            <a:gd name="connsiteY4" fmla="*/ 1098679 h 1658849"/>
            <a:gd name="connsiteX5" fmla="*/ 1944489 w 4564723"/>
            <a:gd name="connsiteY5" fmla="*/ 482945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63623 w 4564723"/>
            <a:gd name="connsiteY3" fmla="*/ 1117324 h 1658849"/>
            <a:gd name="connsiteX4" fmla="*/ 1950188 w 4564723"/>
            <a:gd name="connsiteY4" fmla="*/ 509305 h 1658849"/>
            <a:gd name="connsiteX5" fmla="*/ 1944489 w 4564723"/>
            <a:gd name="connsiteY5" fmla="*/ 482945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1944489 w 4564723"/>
            <a:gd name="connsiteY5" fmla="*/ 482945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1979119 w 4564723"/>
            <a:gd name="connsiteY5" fmla="*/ 510357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1944490 w 4564723"/>
            <a:gd name="connsiteY5" fmla="*/ 503505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1986044 w 4564723"/>
            <a:gd name="connsiteY5" fmla="*/ 503505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1944490 w 4564723"/>
            <a:gd name="connsiteY5" fmla="*/ 510358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1979119 w 4564723"/>
            <a:gd name="connsiteY5" fmla="*/ 510358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1958341 w 4564723"/>
            <a:gd name="connsiteY5" fmla="*/ 496652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2013747 w 4564723"/>
            <a:gd name="connsiteY5" fmla="*/ 524065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2034524 w 4564723"/>
            <a:gd name="connsiteY5" fmla="*/ 517211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2034524 w 4564723"/>
            <a:gd name="connsiteY5" fmla="*/ 517211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1950188 w 4564723"/>
            <a:gd name="connsiteY4" fmla="*/ 509305 h 1658849"/>
            <a:gd name="connsiteX5" fmla="*/ 2034524 w 4564723"/>
            <a:gd name="connsiteY5" fmla="*/ 517211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2116409 w 4564723"/>
            <a:gd name="connsiteY4" fmla="*/ 1064414 h 1658849"/>
            <a:gd name="connsiteX5" fmla="*/ 2034524 w 4564723"/>
            <a:gd name="connsiteY5" fmla="*/ 517211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1962772 w 4564723"/>
            <a:gd name="connsiteY3" fmla="*/ 507391 h 1658849"/>
            <a:gd name="connsiteX4" fmla="*/ 2151039 w 4564723"/>
            <a:gd name="connsiteY4" fmla="*/ 1146652 h 1658849"/>
            <a:gd name="connsiteX5" fmla="*/ 2034524 w 4564723"/>
            <a:gd name="connsiteY5" fmla="*/ 517211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034524 w 4564723"/>
            <a:gd name="connsiteY5" fmla="*/ 517211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179967 w 4564723"/>
            <a:gd name="connsiteY5" fmla="*/ 1072319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214707 w 4564723"/>
            <a:gd name="connsiteY6" fmla="*/ 717881 h 1658849"/>
            <a:gd name="connsiteX7" fmla="*/ 3463437 w 4564723"/>
            <a:gd name="connsiteY7" fmla="*/ 984210 h 1658849"/>
            <a:gd name="connsiteX8" fmla="*/ 4061333 w 4564723"/>
            <a:gd name="connsiteY8" fmla="*/ 1658483 h 1658849"/>
            <a:gd name="connsiteX9" fmla="*/ 4564723 w 4564723"/>
            <a:gd name="connsiteY9"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214707 w 4564723"/>
            <a:gd name="connsiteY6" fmla="*/ 717881 h 1658849"/>
            <a:gd name="connsiteX7" fmla="*/ 3460027 w 4564723"/>
            <a:gd name="connsiteY7" fmla="*/ 968466 h 1658849"/>
            <a:gd name="connsiteX8" fmla="*/ 3463437 w 4564723"/>
            <a:gd name="connsiteY8" fmla="*/ 984210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214707 w 4564723"/>
            <a:gd name="connsiteY6" fmla="*/ 717881 h 1658849"/>
            <a:gd name="connsiteX7" fmla="*/ 3460027 w 4564723"/>
            <a:gd name="connsiteY7" fmla="*/ 968466 h 1658849"/>
            <a:gd name="connsiteX8" fmla="*/ 3463437 w 4564723"/>
            <a:gd name="connsiteY8" fmla="*/ 984210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214707 w 4564723"/>
            <a:gd name="connsiteY6" fmla="*/ 717881 h 1658849"/>
            <a:gd name="connsiteX7" fmla="*/ 3508508 w 4564723"/>
            <a:gd name="connsiteY7" fmla="*/ 1009585 h 1658849"/>
            <a:gd name="connsiteX8" fmla="*/ 3463437 w 4564723"/>
            <a:gd name="connsiteY8" fmla="*/ 984210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214707 w 4564723"/>
            <a:gd name="connsiteY6" fmla="*/ 717881 h 1658849"/>
            <a:gd name="connsiteX7" fmla="*/ 3508508 w 4564723"/>
            <a:gd name="connsiteY7" fmla="*/ 1009585 h 1658849"/>
            <a:gd name="connsiteX8" fmla="*/ 3726619 w 4564723"/>
            <a:gd name="connsiteY8" fmla="*/ 312597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214707 w 4564723"/>
            <a:gd name="connsiteY6" fmla="*/ 717881 h 1658849"/>
            <a:gd name="connsiteX7" fmla="*/ 3508508 w 4564723"/>
            <a:gd name="connsiteY7" fmla="*/ 1009585 h 1658849"/>
            <a:gd name="connsiteX8" fmla="*/ 3726619 w 4564723"/>
            <a:gd name="connsiteY8" fmla="*/ 312597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533297 w 4564723"/>
            <a:gd name="connsiteY6" fmla="*/ 998861 h 1658849"/>
            <a:gd name="connsiteX7" fmla="*/ 3508508 w 4564723"/>
            <a:gd name="connsiteY7" fmla="*/ 1009585 h 1658849"/>
            <a:gd name="connsiteX8" fmla="*/ 3726619 w 4564723"/>
            <a:gd name="connsiteY8" fmla="*/ 312597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533297 w 4564723"/>
            <a:gd name="connsiteY6" fmla="*/ 998861 h 1658849"/>
            <a:gd name="connsiteX7" fmla="*/ 3508508 w 4564723"/>
            <a:gd name="connsiteY7" fmla="*/ 1009585 h 1658849"/>
            <a:gd name="connsiteX8" fmla="*/ 3726619 w 4564723"/>
            <a:gd name="connsiteY8" fmla="*/ 312597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533297 w 4564723"/>
            <a:gd name="connsiteY6" fmla="*/ 998861 h 1658849"/>
            <a:gd name="connsiteX7" fmla="*/ 3508508 w 4564723"/>
            <a:gd name="connsiteY7" fmla="*/ 1009585 h 1658849"/>
            <a:gd name="connsiteX8" fmla="*/ 3948247 w 4564723"/>
            <a:gd name="connsiteY8" fmla="*/ 1189806 h 1658849"/>
            <a:gd name="connsiteX9" fmla="*/ 4061333 w 4564723"/>
            <a:gd name="connsiteY9" fmla="*/ 1658483 h 1658849"/>
            <a:gd name="connsiteX10" fmla="*/ 4564723 w 4564723"/>
            <a:gd name="connsiteY10" fmla="*/ 3827 h 1658849"/>
            <a:gd name="connsiteX0" fmla="*/ 0 w 4564723"/>
            <a:gd name="connsiteY0" fmla="*/ 1039223 h 1700857"/>
            <a:gd name="connsiteX1" fmla="*/ 725640 w 4564723"/>
            <a:gd name="connsiteY1" fmla="*/ 276188 h 1700857"/>
            <a:gd name="connsiteX2" fmla="*/ 1308522 w 4564723"/>
            <a:gd name="connsiteY2" fmla="*/ 1421558 h 1700857"/>
            <a:gd name="connsiteX3" fmla="*/ 2149770 w 4564723"/>
            <a:gd name="connsiteY3" fmla="*/ 1137885 h 1700857"/>
            <a:gd name="connsiteX4" fmla="*/ 2151039 w 4564723"/>
            <a:gd name="connsiteY4" fmla="*/ 1146652 h 1700857"/>
            <a:gd name="connsiteX5" fmla="*/ 2256152 w 4564723"/>
            <a:gd name="connsiteY5" fmla="*/ 606302 h 1700857"/>
            <a:gd name="connsiteX6" fmla="*/ 3533297 w 4564723"/>
            <a:gd name="connsiteY6" fmla="*/ 998861 h 1700857"/>
            <a:gd name="connsiteX7" fmla="*/ 3508508 w 4564723"/>
            <a:gd name="connsiteY7" fmla="*/ 1009585 h 1700857"/>
            <a:gd name="connsiteX8" fmla="*/ 4093690 w 4564723"/>
            <a:gd name="connsiteY8" fmla="*/ 1696942 h 1700857"/>
            <a:gd name="connsiteX9" fmla="*/ 4061333 w 4564723"/>
            <a:gd name="connsiteY9" fmla="*/ 1658483 h 1700857"/>
            <a:gd name="connsiteX10" fmla="*/ 4564723 w 4564723"/>
            <a:gd name="connsiteY10" fmla="*/ 3827 h 1700857"/>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256152 w 4564723"/>
            <a:gd name="connsiteY5" fmla="*/ 606302 h 1658849"/>
            <a:gd name="connsiteX6" fmla="*/ 3533297 w 4564723"/>
            <a:gd name="connsiteY6" fmla="*/ 998861 h 1658849"/>
            <a:gd name="connsiteX7" fmla="*/ 3508508 w 4564723"/>
            <a:gd name="connsiteY7" fmla="*/ 1009585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914110 w 4564723"/>
            <a:gd name="connsiteY5" fmla="*/ 894136 h 1658849"/>
            <a:gd name="connsiteX6" fmla="*/ 3533297 w 4564723"/>
            <a:gd name="connsiteY6" fmla="*/ 998861 h 1658849"/>
            <a:gd name="connsiteX7" fmla="*/ 3508508 w 4564723"/>
            <a:gd name="connsiteY7" fmla="*/ 1009585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914110 w 4564723"/>
            <a:gd name="connsiteY5" fmla="*/ 894136 h 1658849"/>
            <a:gd name="connsiteX6" fmla="*/ 3533297 w 4564723"/>
            <a:gd name="connsiteY6" fmla="*/ 998861 h 1658849"/>
            <a:gd name="connsiteX7" fmla="*/ 3508508 w 4564723"/>
            <a:gd name="connsiteY7" fmla="*/ 1009585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914110 w 4564723"/>
            <a:gd name="connsiteY5" fmla="*/ 894136 h 1658849"/>
            <a:gd name="connsiteX6" fmla="*/ 3533297 w 4564723"/>
            <a:gd name="connsiteY6" fmla="*/ 998861 h 1658849"/>
            <a:gd name="connsiteX7" fmla="*/ 3480805 w 4564723"/>
            <a:gd name="connsiteY7" fmla="*/ 1413923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914110 w 4564723"/>
            <a:gd name="connsiteY5" fmla="*/ 894136 h 1658849"/>
            <a:gd name="connsiteX6" fmla="*/ 3519445 w 4564723"/>
            <a:gd name="connsiteY6" fmla="*/ 1430612 h 1658849"/>
            <a:gd name="connsiteX7" fmla="*/ 3480805 w 4564723"/>
            <a:gd name="connsiteY7" fmla="*/ 1413923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914110 w 4564723"/>
            <a:gd name="connsiteY5" fmla="*/ 894136 h 1658849"/>
            <a:gd name="connsiteX6" fmla="*/ 3519445 w 4564723"/>
            <a:gd name="connsiteY6" fmla="*/ 1430612 h 1658849"/>
            <a:gd name="connsiteX7" fmla="*/ 3460028 w 4564723"/>
            <a:gd name="connsiteY7" fmla="*/ 1413923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914110 w 4564723"/>
            <a:gd name="connsiteY5" fmla="*/ 894136 h 1658849"/>
            <a:gd name="connsiteX6" fmla="*/ 3519445 w 4564723"/>
            <a:gd name="connsiteY6" fmla="*/ 1430612 h 1658849"/>
            <a:gd name="connsiteX7" fmla="*/ 3522361 w 4564723"/>
            <a:gd name="connsiteY7" fmla="*/ 1420776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914110 w 4564723"/>
            <a:gd name="connsiteY5" fmla="*/ 894136 h 1658849"/>
            <a:gd name="connsiteX6" fmla="*/ 3519445 w 4564723"/>
            <a:gd name="connsiteY6" fmla="*/ 1430612 h 1658849"/>
            <a:gd name="connsiteX7" fmla="*/ 3460028 w 4564723"/>
            <a:gd name="connsiteY7" fmla="*/ 1050704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223 h 1658849"/>
            <a:gd name="connsiteX1" fmla="*/ 725640 w 4564723"/>
            <a:gd name="connsiteY1" fmla="*/ 276188 h 1658849"/>
            <a:gd name="connsiteX2" fmla="*/ 1308522 w 4564723"/>
            <a:gd name="connsiteY2" fmla="*/ 1421558 h 1658849"/>
            <a:gd name="connsiteX3" fmla="*/ 2149770 w 4564723"/>
            <a:gd name="connsiteY3" fmla="*/ 1137885 h 1658849"/>
            <a:gd name="connsiteX4" fmla="*/ 2151039 w 4564723"/>
            <a:gd name="connsiteY4" fmla="*/ 1146652 h 1658849"/>
            <a:gd name="connsiteX5" fmla="*/ 2914110 w 4564723"/>
            <a:gd name="connsiteY5" fmla="*/ 894136 h 1658849"/>
            <a:gd name="connsiteX6" fmla="*/ 3477890 w 4564723"/>
            <a:gd name="connsiteY6" fmla="*/ 1053687 h 1658849"/>
            <a:gd name="connsiteX7" fmla="*/ 3460028 w 4564723"/>
            <a:gd name="connsiteY7" fmla="*/ 1050704 h 1658849"/>
            <a:gd name="connsiteX8" fmla="*/ 4038282 w 4564723"/>
            <a:gd name="connsiteY8" fmla="*/ 1635262 h 1658849"/>
            <a:gd name="connsiteX9" fmla="*/ 4061333 w 4564723"/>
            <a:gd name="connsiteY9" fmla="*/ 1658483 h 1658849"/>
            <a:gd name="connsiteX10" fmla="*/ 4564723 w 4564723"/>
            <a:gd name="connsiteY10" fmla="*/ 3827 h 1658849"/>
            <a:gd name="connsiteX0" fmla="*/ 0 w 4564723"/>
            <a:gd name="connsiteY0" fmla="*/ 1039324 h 1640044"/>
            <a:gd name="connsiteX1" fmla="*/ 725640 w 4564723"/>
            <a:gd name="connsiteY1" fmla="*/ 276289 h 1640044"/>
            <a:gd name="connsiteX2" fmla="*/ 1308522 w 4564723"/>
            <a:gd name="connsiteY2" fmla="*/ 1421659 h 1640044"/>
            <a:gd name="connsiteX3" fmla="*/ 2149770 w 4564723"/>
            <a:gd name="connsiteY3" fmla="*/ 1137986 h 1640044"/>
            <a:gd name="connsiteX4" fmla="*/ 2151039 w 4564723"/>
            <a:gd name="connsiteY4" fmla="*/ 1146753 h 1640044"/>
            <a:gd name="connsiteX5" fmla="*/ 2914110 w 4564723"/>
            <a:gd name="connsiteY5" fmla="*/ 894237 h 1640044"/>
            <a:gd name="connsiteX6" fmla="*/ 3477890 w 4564723"/>
            <a:gd name="connsiteY6" fmla="*/ 1053788 h 1640044"/>
            <a:gd name="connsiteX7" fmla="*/ 3460028 w 4564723"/>
            <a:gd name="connsiteY7" fmla="*/ 1050805 h 1640044"/>
            <a:gd name="connsiteX8" fmla="*/ 4038282 w 4564723"/>
            <a:gd name="connsiteY8" fmla="*/ 1635363 h 1640044"/>
            <a:gd name="connsiteX9" fmla="*/ 4040556 w 4564723"/>
            <a:gd name="connsiteY9" fmla="*/ 1610612 h 1640044"/>
            <a:gd name="connsiteX10" fmla="*/ 4564723 w 4564723"/>
            <a:gd name="connsiteY10" fmla="*/ 3928 h 1640044"/>
            <a:gd name="connsiteX0" fmla="*/ 0 w 4564723"/>
            <a:gd name="connsiteY0" fmla="*/ 1041706 h 1638186"/>
            <a:gd name="connsiteX1" fmla="*/ 725640 w 4564723"/>
            <a:gd name="connsiteY1" fmla="*/ 278671 h 1638186"/>
            <a:gd name="connsiteX2" fmla="*/ 1308522 w 4564723"/>
            <a:gd name="connsiteY2" fmla="*/ 1424041 h 1638186"/>
            <a:gd name="connsiteX3" fmla="*/ 2149770 w 4564723"/>
            <a:gd name="connsiteY3" fmla="*/ 1140368 h 1638186"/>
            <a:gd name="connsiteX4" fmla="*/ 2151039 w 4564723"/>
            <a:gd name="connsiteY4" fmla="*/ 1149135 h 1638186"/>
            <a:gd name="connsiteX5" fmla="*/ 2914110 w 4564723"/>
            <a:gd name="connsiteY5" fmla="*/ 896619 h 1638186"/>
            <a:gd name="connsiteX6" fmla="*/ 3477890 w 4564723"/>
            <a:gd name="connsiteY6" fmla="*/ 1056170 h 1638186"/>
            <a:gd name="connsiteX7" fmla="*/ 3460028 w 4564723"/>
            <a:gd name="connsiteY7" fmla="*/ 1053187 h 1638186"/>
            <a:gd name="connsiteX8" fmla="*/ 4038282 w 4564723"/>
            <a:gd name="connsiteY8" fmla="*/ 1637745 h 1638186"/>
            <a:gd name="connsiteX9" fmla="*/ 3957446 w 4564723"/>
            <a:gd name="connsiteY9" fmla="*/ 934527 h 1638186"/>
            <a:gd name="connsiteX10" fmla="*/ 4564723 w 4564723"/>
            <a:gd name="connsiteY10" fmla="*/ 6310 h 1638186"/>
            <a:gd name="connsiteX0" fmla="*/ 0 w 4564723"/>
            <a:gd name="connsiteY0" fmla="*/ 1041706 h 1446447"/>
            <a:gd name="connsiteX1" fmla="*/ 725640 w 4564723"/>
            <a:gd name="connsiteY1" fmla="*/ 278671 h 1446447"/>
            <a:gd name="connsiteX2" fmla="*/ 1308522 w 4564723"/>
            <a:gd name="connsiteY2" fmla="*/ 1424041 h 1446447"/>
            <a:gd name="connsiteX3" fmla="*/ 2149770 w 4564723"/>
            <a:gd name="connsiteY3" fmla="*/ 1140368 h 1446447"/>
            <a:gd name="connsiteX4" fmla="*/ 2151039 w 4564723"/>
            <a:gd name="connsiteY4" fmla="*/ 1149135 h 1446447"/>
            <a:gd name="connsiteX5" fmla="*/ 2914110 w 4564723"/>
            <a:gd name="connsiteY5" fmla="*/ 896619 h 1446447"/>
            <a:gd name="connsiteX6" fmla="*/ 3477890 w 4564723"/>
            <a:gd name="connsiteY6" fmla="*/ 1056170 h 1446447"/>
            <a:gd name="connsiteX7" fmla="*/ 3460028 w 4564723"/>
            <a:gd name="connsiteY7" fmla="*/ 1053187 h 1446447"/>
            <a:gd name="connsiteX8" fmla="*/ 4038282 w 4564723"/>
            <a:gd name="connsiteY8" fmla="*/ 1445855 h 1446447"/>
            <a:gd name="connsiteX9" fmla="*/ 3957446 w 4564723"/>
            <a:gd name="connsiteY9" fmla="*/ 934527 h 1446447"/>
            <a:gd name="connsiteX10" fmla="*/ 4564723 w 4564723"/>
            <a:gd name="connsiteY10" fmla="*/ 6310 h 1446447"/>
            <a:gd name="connsiteX0" fmla="*/ 0 w 4564723"/>
            <a:gd name="connsiteY0" fmla="*/ 1041706 h 1430889"/>
            <a:gd name="connsiteX1" fmla="*/ 725640 w 4564723"/>
            <a:gd name="connsiteY1" fmla="*/ 278671 h 1430889"/>
            <a:gd name="connsiteX2" fmla="*/ 1308522 w 4564723"/>
            <a:gd name="connsiteY2" fmla="*/ 1424041 h 1430889"/>
            <a:gd name="connsiteX3" fmla="*/ 2149770 w 4564723"/>
            <a:gd name="connsiteY3" fmla="*/ 1140368 h 1430889"/>
            <a:gd name="connsiteX4" fmla="*/ 2151039 w 4564723"/>
            <a:gd name="connsiteY4" fmla="*/ 1149135 h 1430889"/>
            <a:gd name="connsiteX5" fmla="*/ 2914110 w 4564723"/>
            <a:gd name="connsiteY5" fmla="*/ 896619 h 1430889"/>
            <a:gd name="connsiteX6" fmla="*/ 3477890 w 4564723"/>
            <a:gd name="connsiteY6" fmla="*/ 1056170 h 1430889"/>
            <a:gd name="connsiteX7" fmla="*/ 3460028 w 4564723"/>
            <a:gd name="connsiteY7" fmla="*/ 1053187 h 1430889"/>
            <a:gd name="connsiteX8" fmla="*/ 3982875 w 4564723"/>
            <a:gd name="connsiteY8" fmla="*/ 1212846 h 1430889"/>
            <a:gd name="connsiteX9" fmla="*/ 3957446 w 4564723"/>
            <a:gd name="connsiteY9" fmla="*/ 934527 h 1430889"/>
            <a:gd name="connsiteX10" fmla="*/ 4564723 w 4564723"/>
            <a:gd name="connsiteY10" fmla="*/ 6310 h 1430889"/>
            <a:gd name="connsiteX0" fmla="*/ 0 w 4564723"/>
            <a:gd name="connsiteY0" fmla="*/ 1039148 h 1695545"/>
            <a:gd name="connsiteX1" fmla="*/ 725640 w 4564723"/>
            <a:gd name="connsiteY1" fmla="*/ 276113 h 1695545"/>
            <a:gd name="connsiteX2" fmla="*/ 1308522 w 4564723"/>
            <a:gd name="connsiteY2" fmla="*/ 1421483 h 1695545"/>
            <a:gd name="connsiteX3" fmla="*/ 2149770 w 4564723"/>
            <a:gd name="connsiteY3" fmla="*/ 1137810 h 1695545"/>
            <a:gd name="connsiteX4" fmla="*/ 2151039 w 4564723"/>
            <a:gd name="connsiteY4" fmla="*/ 1146577 h 1695545"/>
            <a:gd name="connsiteX5" fmla="*/ 2914110 w 4564723"/>
            <a:gd name="connsiteY5" fmla="*/ 894061 h 1695545"/>
            <a:gd name="connsiteX6" fmla="*/ 3477890 w 4564723"/>
            <a:gd name="connsiteY6" fmla="*/ 1053612 h 1695545"/>
            <a:gd name="connsiteX7" fmla="*/ 3460028 w 4564723"/>
            <a:gd name="connsiteY7" fmla="*/ 1050629 h 1695545"/>
            <a:gd name="connsiteX8" fmla="*/ 3982875 w 4564723"/>
            <a:gd name="connsiteY8" fmla="*/ 1210288 h 1695545"/>
            <a:gd name="connsiteX9" fmla="*/ 4053630 w 4564723"/>
            <a:gd name="connsiteY9" fmla="*/ 1695186 h 1695545"/>
            <a:gd name="connsiteX10" fmla="*/ 4564723 w 4564723"/>
            <a:gd name="connsiteY10" fmla="*/ 3752 h 1695545"/>
            <a:gd name="connsiteX0" fmla="*/ 0 w 4564723"/>
            <a:gd name="connsiteY0" fmla="*/ 1039148 h 1695545"/>
            <a:gd name="connsiteX1" fmla="*/ 725640 w 4564723"/>
            <a:gd name="connsiteY1" fmla="*/ 276113 h 1695545"/>
            <a:gd name="connsiteX2" fmla="*/ 1308522 w 4564723"/>
            <a:gd name="connsiteY2" fmla="*/ 1421483 h 1695545"/>
            <a:gd name="connsiteX3" fmla="*/ 2149770 w 4564723"/>
            <a:gd name="connsiteY3" fmla="*/ 1137810 h 1695545"/>
            <a:gd name="connsiteX4" fmla="*/ 2151039 w 4564723"/>
            <a:gd name="connsiteY4" fmla="*/ 1146577 h 1695545"/>
            <a:gd name="connsiteX5" fmla="*/ 2914110 w 4564723"/>
            <a:gd name="connsiteY5" fmla="*/ 894061 h 1695545"/>
            <a:gd name="connsiteX6" fmla="*/ 3477890 w 4564723"/>
            <a:gd name="connsiteY6" fmla="*/ 1053612 h 1695545"/>
            <a:gd name="connsiteX7" fmla="*/ 3460028 w 4564723"/>
            <a:gd name="connsiteY7" fmla="*/ 1050629 h 1695545"/>
            <a:gd name="connsiteX8" fmla="*/ 4055013 w 4564723"/>
            <a:gd name="connsiteY8" fmla="*/ 1684287 h 1695545"/>
            <a:gd name="connsiteX9" fmla="*/ 4053630 w 4564723"/>
            <a:gd name="connsiteY9" fmla="*/ 1695186 h 1695545"/>
            <a:gd name="connsiteX10" fmla="*/ 4564723 w 4564723"/>
            <a:gd name="connsiteY10" fmla="*/ 3752 h 1695545"/>
            <a:gd name="connsiteX0" fmla="*/ 0 w 4564723"/>
            <a:gd name="connsiteY0" fmla="*/ 1039085 h 1727612"/>
            <a:gd name="connsiteX1" fmla="*/ 725640 w 4564723"/>
            <a:gd name="connsiteY1" fmla="*/ 276050 h 1727612"/>
            <a:gd name="connsiteX2" fmla="*/ 1308522 w 4564723"/>
            <a:gd name="connsiteY2" fmla="*/ 1421420 h 1727612"/>
            <a:gd name="connsiteX3" fmla="*/ 2149770 w 4564723"/>
            <a:gd name="connsiteY3" fmla="*/ 1137747 h 1727612"/>
            <a:gd name="connsiteX4" fmla="*/ 2151039 w 4564723"/>
            <a:gd name="connsiteY4" fmla="*/ 1146514 h 1727612"/>
            <a:gd name="connsiteX5" fmla="*/ 2914110 w 4564723"/>
            <a:gd name="connsiteY5" fmla="*/ 893998 h 1727612"/>
            <a:gd name="connsiteX6" fmla="*/ 3477890 w 4564723"/>
            <a:gd name="connsiteY6" fmla="*/ 1053549 h 1727612"/>
            <a:gd name="connsiteX7" fmla="*/ 3460028 w 4564723"/>
            <a:gd name="connsiteY7" fmla="*/ 1050566 h 1727612"/>
            <a:gd name="connsiteX8" fmla="*/ 4055013 w 4564723"/>
            <a:gd name="connsiteY8" fmla="*/ 1684224 h 1727612"/>
            <a:gd name="connsiteX9" fmla="*/ 4053630 w 4564723"/>
            <a:gd name="connsiteY9" fmla="*/ 1727258 h 1727612"/>
            <a:gd name="connsiteX10" fmla="*/ 4564723 w 4564723"/>
            <a:gd name="connsiteY10" fmla="*/ 3689 h 1727612"/>
            <a:gd name="connsiteX0" fmla="*/ 0 w 4564723"/>
            <a:gd name="connsiteY0" fmla="*/ 1041167 h 1686781"/>
            <a:gd name="connsiteX1" fmla="*/ 725640 w 4564723"/>
            <a:gd name="connsiteY1" fmla="*/ 278132 h 1686781"/>
            <a:gd name="connsiteX2" fmla="*/ 1308522 w 4564723"/>
            <a:gd name="connsiteY2" fmla="*/ 1423502 h 1686781"/>
            <a:gd name="connsiteX3" fmla="*/ 2149770 w 4564723"/>
            <a:gd name="connsiteY3" fmla="*/ 1139829 h 1686781"/>
            <a:gd name="connsiteX4" fmla="*/ 2151039 w 4564723"/>
            <a:gd name="connsiteY4" fmla="*/ 1148596 h 1686781"/>
            <a:gd name="connsiteX5" fmla="*/ 2914110 w 4564723"/>
            <a:gd name="connsiteY5" fmla="*/ 896080 h 1686781"/>
            <a:gd name="connsiteX6" fmla="*/ 3477890 w 4564723"/>
            <a:gd name="connsiteY6" fmla="*/ 1055631 h 1686781"/>
            <a:gd name="connsiteX7" fmla="*/ 3460028 w 4564723"/>
            <a:gd name="connsiteY7" fmla="*/ 1052648 h 1686781"/>
            <a:gd name="connsiteX8" fmla="*/ 4055013 w 4564723"/>
            <a:gd name="connsiteY8" fmla="*/ 1686306 h 1686781"/>
            <a:gd name="connsiteX9" fmla="*/ 3933400 w 4564723"/>
            <a:gd name="connsiteY9" fmla="*/ 1038426 h 1686781"/>
            <a:gd name="connsiteX10" fmla="*/ 4564723 w 4564723"/>
            <a:gd name="connsiteY10" fmla="*/ 5771 h 1686781"/>
            <a:gd name="connsiteX0" fmla="*/ 0 w 4564723"/>
            <a:gd name="connsiteY0" fmla="*/ 1039214 h 1689281"/>
            <a:gd name="connsiteX1" fmla="*/ 725640 w 4564723"/>
            <a:gd name="connsiteY1" fmla="*/ 276179 h 1689281"/>
            <a:gd name="connsiteX2" fmla="*/ 1308522 w 4564723"/>
            <a:gd name="connsiteY2" fmla="*/ 1421549 h 1689281"/>
            <a:gd name="connsiteX3" fmla="*/ 2149770 w 4564723"/>
            <a:gd name="connsiteY3" fmla="*/ 1137876 h 1689281"/>
            <a:gd name="connsiteX4" fmla="*/ 2151039 w 4564723"/>
            <a:gd name="connsiteY4" fmla="*/ 1146643 h 1689281"/>
            <a:gd name="connsiteX5" fmla="*/ 2914110 w 4564723"/>
            <a:gd name="connsiteY5" fmla="*/ 894127 h 1689281"/>
            <a:gd name="connsiteX6" fmla="*/ 3477890 w 4564723"/>
            <a:gd name="connsiteY6" fmla="*/ 1053678 h 1689281"/>
            <a:gd name="connsiteX7" fmla="*/ 3460028 w 4564723"/>
            <a:gd name="connsiteY7" fmla="*/ 1050695 h 1689281"/>
            <a:gd name="connsiteX8" fmla="*/ 4055013 w 4564723"/>
            <a:gd name="connsiteY8" fmla="*/ 1684353 h 1689281"/>
            <a:gd name="connsiteX9" fmla="*/ 4045614 w 4564723"/>
            <a:gd name="connsiteY9" fmla="*/ 1663116 h 1689281"/>
            <a:gd name="connsiteX10" fmla="*/ 4564723 w 4564723"/>
            <a:gd name="connsiteY10" fmla="*/ 3818 h 1689281"/>
            <a:gd name="connsiteX0" fmla="*/ 0 w 4564723"/>
            <a:gd name="connsiteY0" fmla="*/ 1042467 h 1687965"/>
            <a:gd name="connsiteX1" fmla="*/ 725640 w 4564723"/>
            <a:gd name="connsiteY1" fmla="*/ 279432 h 1687965"/>
            <a:gd name="connsiteX2" fmla="*/ 1308522 w 4564723"/>
            <a:gd name="connsiteY2" fmla="*/ 1424802 h 1687965"/>
            <a:gd name="connsiteX3" fmla="*/ 2149770 w 4564723"/>
            <a:gd name="connsiteY3" fmla="*/ 1141129 h 1687965"/>
            <a:gd name="connsiteX4" fmla="*/ 2151039 w 4564723"/>
            <a:gd name="connsiteY4" fmla="*/ 1149896 h 1687965"/>
            <a:gd name="connsiteX5" fmla="*/ 2914110 w 4564723"/>
            <a:gd name="connsiteY5" fmla="*/ 897380 h 1687965"/>
            <a:gd name="connsiteX6" fmla="*/ 3477890 w 4564723"/>
            <a:gd name="connsiteY6" fmla="*/ 1056931 h 1687965"/>
            <a:gd name="connsiteX7" fmla="*/ 3460028 w 4564723"/>
            <a:gd name="connsiteY7" fmla="*/ 1053948 h 1687965"/>
            <a:gd name="connsiteX8" fmla="*/ 4055013 w 4564723"/>
            <a:gd name="connsiteY8" fmla="*/ 1687606 h 1687965"/>
            <a:gd name="connsiteX9" fmla="*/ 3941415 w 4564723"/>
            <a:gd name="connsiteY9" fmla="*/ 814778 h 1687965"/>
            <a:gd name="connsiteX10" fmla="*/ 4564723 w 4564723"/>
            <a:gd name="connsiteY10" fmla="*/ 7071 h 1687965"/>
            <a:gd name="connsiteX0" fmla="*/ 0 w 4564723"/>
            <a:gd name="connsiteY0" fmla="*/ 1042467 h 1431650"/>
            <a:gd name="connsiteX1" fmla="*/ 725640 w 4564723"/>
            <a:gd name="connsiteY1" fmla="*/ 279432 h 1431650"/>
            <a:gd name="connsiteX2" fmla="*/ 1308522 w 4564723"/>
            <a:gd name="connsiteY2" fmla="*/ 1424802 h 1431650"/>
            <a:gd name="connsiteX3" fmla="*/ 2149770 w 4564723"/>
            <a:gd name="connsiteY3" fmla="*/ 1141129 h 1431650"/>
            <a:gd name="connsiteX4" fmla="*/ 2151039 w 4564723"/>
            <a:gd name="connsiteY4" fmla="*/ 1149896 h 1431650"/>
            <a:gd name="connsiteX5" fmla="*/ 2914110 w 4564723"/>
            <a:gd name="connsiteY5" fmla="*/ 897380 h 1431650"/>
            <a:gd name="connsiteX6" fmla="*/ 3477890 w 4564723"/>
            <a:gd name="connsiteY6" fmla="*/ 1056931 h 1431650"/>
            <a:gd name="connsiteX7" fmla="*/ 3460028 w 4564723"/>
            <a:gd name="connsiteY7" fmla="*/ 1053948 h 1431650"/>
            <a:gd name="connsiteX8" fmla="*/ 3950814 w 4564723"/>
            <a:gd name="connsiteY8" fmla="*/ 803879 h 1431650"/>
            <a:gd name="connsiteX9" fmla="*/ 3941415 w 4564723"/>
            <a:gd name="connsiteY9" fmla="*/ 814778 h 1431650"/>
            <a:gd name="connsiteX10" fmla="*/ 4564723 w 4564723"/>
            <a:gd name="connsiteY10" fmla="*/ 7071 h 1431650"/>
            <a:gd name="connsiteX0" fmla="*/ 0 w 4564723"/>
            <a:gd name="connsiteY0" fmla="*/ 1042467 h 1431650"/>
            <a:gd name="connsiteX1" fmla="*/ 725640 w 4564723"/>
            <a:gd name="connsiteY1" fmla="*/ 279432 h 1431650"/>
            <a:gd name="connsiteX2" fmla="*/ 1308522 w 4564723"/>
            <a:gd name="connsiteY2" fmla="*/ 1424802 h 1431650"/>
            <a:gd name="connsiteX3" fmla="*/ 2149770 w 4564723"/>
            <a:gd name="connsiteY3" fmla="*/ 1141129 h 1431650"/>
            <a:gd name="connsiteX4" fmla="*/ 2110964 w 4564723"/>
            <a:gd name="connsiteY4" fmla="*/ 941015 h 1431650"/>
            <a:gd name="connsiteX5" fmla="*/ 2914110 w 4564723"/>
            <a:gd name="connsiteY5" fmla="*/ 897380 h 1431650"/>
            <a:gd name="connsiteX6" fmla="*/ 3477890 w 4564723"/>
            <a:gd name="connsiteY6" fmla="*/ 1056931 h 1431650"/>
            <a:gd name="connsiteX7" fmla="*/ 3460028 w 4564723"/>
            <a:gd name="connsiteY7" fmla="*/ 1053948 h 1431650"/>
            <a:gd name="connsiteX8" fmla="*/ 3950814 w 4564723"/>
            <a:gd name="connsiteY8" fmla="*/ 803879 h 1431650"/>
            <a:gd name="connsiteX9" fmla="*/ 3941415 w 4564723"/>
            <a:gd name="connsiteY9" fmla="*/ 814778 h 1431650"/>
            <a:gd name="connsiteX10" fmla="*/ 4564723 w 4564723"/>
            <a:gd name="connsiteY10" fmla="*/ 7071 h 1431650"/>
            <a:gd name="connsiteX0" fmla="*/ 0 w 4564723"/>
            <a:gd name="connsiteY0" fmla="*/ 1042467 h 1429369"/>
            <a:gd name="connsiteX1" fmla="*/ 725640 w 4564723"/>
            <a:gd name="connsiteY1" fmla="*/ 279432 h 1429369"/>
            <a:gd name="connsiteX2" fmla="*/ 1308522 w 4564723"/>
            <a:gd name="connsiteY2" fmla="*/ 1424802 h 1429369"/>
            <a:gd name="connsiteX3" fmla="*/ 2125724 w 4564723"/>
            <a:gd name="connsiteY3" fmla="*/ 940282 h 1429369"/>
            <a:gd name="connsiteX4" fmla="*/ 2110964 w 4564723"/>
            <a:gd name="connsiteY4" fmla="*/ 941015 h 1429369"/>
            <a:gd name="connsiteX5" fmla="*/ 2914110 w 4564723"/>
            <a:gd name="connsiteY5" fmla="*/ 897380 h 1429369"/>
            <a:gd name="connsiteX6" fmla="*/ 3477890 w 4564723"/>
            <a:gd name="connsiteY6" fmla="*/ 1056931 h 1429369"/>
            <a:gd name="connsiteX7" fmla="*/ 3460028 w 4564723"/>
            <a:gd name="connsiteY7" fmla="*/ 1053948 h 1429369"/>
            <a:gd name="connsiteX8" fmla="*/ 3950814 w 4564723"/>
            <a:gd name="connsiteY8" fmla="*/ 803879 h 1429369"/>
            <a:gd name="connsiteX9" fmla="*/ 3941415 w 4564723"/>
            <a:gd name="connsiteY9" fmla="*/ 814778 h 1429369"/>
            <a:gd name="connsiteX10" fmla="*/ 4564723 w 4564723"/>
            <a:gd name="connsiteY10" fmla="*/ 7071 h 1429369"/>
            <a:gd name="connsiteX0" fmla="*/ 0 w 4564723"/>
            <a:gd name="connsiteY0" fmla="*/ 1042467 h 1989183"/>
            <a:gd name="connsiteX1" fmla="*/ 725640 w 4564723"/>
            <a:gd name="connsiteY1" fmla="*/ 279432 h 1989183"/>
            <a:gd name="connsiteX2" fmla="*/ 1308522 w 4564723"/>
            <a:gd name="connsiteY2" fmla="*/ 1424802 h 1989183"/>
            <a:gd name="connsiteX3" fmla="*/ 2125724 w 4564723"/>
            <a:gd name="connsiteY3" fmla="*/ 940282 h 1989183"/>
            <a:gd name="connsiteX4" fmla="*/ 2110964 w 4564723"/>
            <a:gd name="connsiteY4" fmla="*/ 941015 h 1989183"/>
            <a:gd name="connsiteX5" fmla="*/ 2333067 w 4564723"/>
            <a:gd name="connsiteY5" fmla="*/ 1989041 h 1989183"/>
            <a:gd name="connsiteX6" fmla="*/ 3477890 w 4564723"/>
            <a:gd name="connsiteY6" fmla="*/ 1056931 h 1989183"/>
            <a:gd name="connsiteX7" fmla="*/ 3460028 w 4564723"/>
            <a:gd name="connsiteY7" fmla="*/ 1053948 h 1989183"/>
            <a:gd name="connsiteX8" fmla="*/ 3950814 w 4564723"/>
            <a:gd name="connsiteY8" fmla="*/ 803879 h 1989183"/>
            <a:gd name="connsiteX9" fmla="*/ 3941415 w 4564723"/>
            <a:gd name="connsiteY9" fmla="*/ 814778 h 1989183"/>
            <a:gd name="connsiteX10" fmla="*/ 4564723 w 4564723"/>
            <a:gd name="connsiteY10" fmla="*/ 7071 h 1989183"/>
            <a:gd name="connsiteX0" fmla="*/ 0 w 4564723"/>
            <a:gd name="connsiteY0" fmla="*/ 1042467 h 1989183"/>
            <a:gd name="connsiteX1" fmla="*/ 725640 w 4564723"/>
            <a:gd name="connsiteY1" fmla="*/ 279432 h 1989183"/>
            <a:gd name="connsiteX2" fmla="*/ 1308522 w 4564723"/>
            <a:gd name="connsiteY2" fmla="*/ 1424802 h 1989183"/>
            <a:gd name="connsiteX3" fmla="*/ 2125724 w 4564723"/>
            <a:gd name="connsiteY3" fmla="*/ 940282 h 1989183"/>
            <a:gd name="connsiteX4" fmla="*/ 2110964 w 4564723"/>
            <a:gd name="connsiteY4" fmla="*/ 941015 h 1989183"/>
            <a:gd name="connsiteX5" fmla="*/ 2333067 w 4564723"/>
            <a:gd name="connsiteY5" fmla="*/ 1989041 h 1989183"/>
            <a:gd name="connsiteX6" fmla="*/ 3477890 w 4564723"/>
            <a:gd name="connsiteY6" fmla="*/ 1056931 h 1989183"/>
            <a:gd name="connsiteX7" fmla="*/ 2852270 w 4564723"/>
            <a:gd name="connsiteY7" fmla="*/ 747750 h 1989183"/>
            <a:gd name="connsiteX8" fmla="*/ 3950814 w 4564723"/>
            <a:gd name="connsiteY8" fmla="*/ 803879 h 1989183"/>
            <a:gd name="connsiteX9" fmla="*/ 3941415 w 4564723"/>
            <a:gd name="connsiteY9" fmla="*/ 814778 h 1989183"/>
            <a:gd name="connsiteX10" fmla="*/ 4564723 w 4564723"/>
            <a:gd name="connsiteY10" fmla="*/ 7071 h 1989183"/>
            <a:gd name="connsiteX0" fmla="*/ 0 w 4564723"/>
            <a:gd name="connsiteY0" fmla="*/ 1042467 h 1989148"/>
            <a:gd name="connsiteX1" fmla="*/ 725640 w 4564723"/>
            <a:gd name="connsiteY1" fmla="*/ 279432 h 1989148"/>
            <a:gd name="connsiteX2" fmla="*/ 1308522 w 4564723"/>
            <a:gd name="connsiteY2" fmla="*/ 1424802 h 1989148"/>
            <a:gd name="connsiteX3" fmla="*/ 2125724 w 4564723"/>
            <a:gd name="connsiteY3" fmla="*/ 940282 h 1989148"/>
            <a:gd name="connsiteX4" fmla="*/ 2110964 w 4564723"/>
            <a:gd name="connsiteY4" fmla="*/ 941015 h 1989148"/>
            <a:gd name="connsiteX5" fmla="*/ 2333067 w 4564723"/>
            <a:gd name="connsiteY5" fmla="*/ 1989041 h 1989148"/>
            <a:gd name="connsiteX6" fmla="*/ 2883490 w 4564723"/>
            <a:gd name="connsiteY6" fmla="*/ 744077 h 1989148"/>
            <a:gd name="connsiteX7" fmla="*/ 2852270 w 4564723"/>
            <a:gd name="connsiteY7" fmla="*/ 747750 h 1989148"/>
            <a:gd name="connsiteX8" fmla="*/ 3950814 w 4564723"/>
            <a:gd name="connsiteY8" fmla="*/ 803879 h 1989148"/>
            <a:gd name="connsiteX9" fmla="*/ 3941415 w 4564723"/>
            <a:gd name="connsiteY9" fmla="*/ 814778 h 1989148"/>
            <a:gd name="connsiteX10" fmla="*/ 4564723 w 4564723"/>
            <a:gd name="connsiteY10" fmla="*/ 7071 h 1989148"/>
            <a:gd name="connsiteX0" fmla="*/ 0 w 4564723"/>
            <a:gd name="connsiteY0" fmla="*/ 1039493 h 1986174"/>
            <a:gd name="connsiteX1" fmla="*/ 725640 w 4564723"/>
            <a:gd name="connsiteY1" fmla="*/ 276458 h 1986174"/>
            <a:gd name="connsiteX2" fmla="*/ 1308522 w 4564723"/>
            <a:gd name="connsiteY2" fmla="*/ 1421828 h 1986174"/>
            <a:gd name="connsiteX3" fmla="*/ 2125724 w 4564723"/>
            <a:gd name="connsiteY3" fmla="*/ 937308 h 1986174"/>
            <a:gd name="connsiteX4" fmla="*/ 2110964 w 4564723"/>
            <a:gd name="connsiteY4" fmla="*/ 938041 h 1986174"/>
            <a:gd name="connsiteX5" fmla="*/ 2333067 w 4564723"/>
            <a:gd name="connsiteY5" fmla="*/ 1986067 h 1986174"/>
            <a:gd name="connsiteX6" fmla="*/ 2883490 w 4564723"/>
            <a:gd name="connsiteY6" fmla="*/ 741103 h 1986174"/>
            <a:gd name="connsiteX7" fmla="*/ 2852270 w 4564723"/>
            <a:gd name="connsiteY7" fmla="*/ 744776 h 1986174"/>
            <a:gd name="connsiteX8" fmla="*/ 3950814 w 4564723"/>
            <a:gd name="connsiteY8" fmla="*/ 800905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725640 w 4564723"/>
            <a:gd name="connsiteY1" fmla="*/ 276458 h 1986174"/>
            <a:gd name="connsiteX2" fmla="*/ 1308522 w 4564723"/>
            <a:gd name="connsiteY2" fmla="*/ 1421828 h 1986174"/>
            <a:gd name="connsiteX3" fmla="*/ 2125724 w 4564723"/>
            <a:gd name="connsiteY3" fmla="*/ 937308 h 1986174"/>
            <a:gd name="connsiteX4" fmla="*/ 2110964 w 4564723"/>
            <a:gd name="connsiteY4" fmla="*/ 938041 h 1986174"/>
            <a:gd name="connsiteX5" fmla="*/ 2333067 w 4564723"/>
            <a:gd name="connsiteY5" fmla="*/ 1986067 h 1986174"/>
            <a:gd name="connsiteX6" fmla="*/ 2883490 w 4564723"/>
            <a:gd name="connsiteY6" fmla="*/ 741103 h 1986174"/>
            <a:gd name="connsiteX7" fmla="*/ 2852270 w 4564723"/>
            <a:gd name="connsiteY7" fmla="*/ 744776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725640 w 4564723"/>
            <a:gd name="connsiteY1" fmla="*/ 276458 h 1986174"/>
            <a:gd name="connsiteX2" fmla="*/ 1308522 w 4564723"/>
            <a:gd name="connsiteY2" fmla="*/ 1421828 h 1986174"/>
            <a:gd name="connsiteX3" fmla="*/ 2125724 w 4564723"/>
            <a:gd name="connsiteY3" fmla="*/ 937308 h 1986174"/>
            <a:gd name="connsiteX4" fmla="*/ 2110964 w 4564723"/>
            <a:gd name="connsiteY4" fmla="*/ 938041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308522 w 4564723"/>
            <a:gd name="connsiteY2" fmla="*/ 1421828 h 1986174"/>
            <a:gd name="connsiteX3" fmla="*/ 2125724 w 4564723"/>
            <a:gd name="connsiteY3" fmla="*/ 937308 h 1986174"/>
            <a:gd name="connsiteX4" fmla="*/ 2110964 w 4564723"/>
            <a:gd name="connsiteY4" fmla="*/ 938041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25724 w 4564723"/>
            <a:gd name="connsiteY3" fmla="*/ 937308 h 1986174"/>
            <a:gd name="connsiteX4" fmla="*/ 2110964 w 4564723"/>
            <a:gd name="connsiteY4" fmla="*/ 938041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25724 w 4564723"/>
            <a:gd name="connsiteY3" fmla="*/ 937308 h 1986174"/>
            <a:gd name="connsiteX4" fmla="*/ 2217822 w 4564723"/>
            <a:gd name="connsiteY4" fmla="*/ 28570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19225 w 4564723"/>
            <a:gd name="connsiteY3" fmla="*/ 318257 h 1986174"/>
            <a:gd name="connsiteX4" fmla="*/ 2217822 w 4564723"/>
            <a:gd name="connsiteY4" fmla="*/ 28570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099010 w 4564723"/>
            <a:gd name="connsiteY3" fmla="*/ 937308 h 1986174"/>
            <a:gd name="connsiteX4" fmla="*/ 2217822 w 4564723"/>
            <a:gd name="connsiteY4" fmla="*/ 28570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099010 w 4564723"/>
            <a:gd name="connsiteY3" fmla="*/ 937308 h 1986174"/>
            <a:gd name="connsiteX4" fmla="*/ 2104285 w 4564723"/>
            <a:gd name="connsiteY4" fmla="*/ 951354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099010 w 4564723"/>
            <a:gd name="connsiteY3" fmla="*/ 937308 h 1986174"/>
            <a:gd name="connsiteX4" fmla="*/ 2157715 w 4564723"/>
            <a:gd name="connsiteY4" fmla="*/ 53865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099010 w 4564723"/>
            <a:gd name="connsiteY3" fmla="*/ 937308 h 1986174"/>
            <a:gd name="connsiteX4" fmla="*/ 2110964 w 4564723"/>
            <a:gd name="connsiteY4" fmla="*/ 977980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099010 w 4564723"/>
            <a:gd name="connsiteY3" fmla="*/ 937308 h 1986174"/>
            <a:gd name="connsiteX4" fmla="*/ 2297966 w 4564723"/>
            <a:gd name="connsiteY4" fmla="*/ 665126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99369 w 4564723"/>
            <a:gd name="connsiteY3" fmla="*/ 691020 h 1986174"/>
            <a:gd name="connsiteX4" fmla="*/ 2297966 w 4564723"/>
            <a:gd name="connsiteY4" fmla="*/ 665126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99369 w 4564723"/>
            <a:gd name="connsiteY3" fmla="*/ 691020 h 1986174"/>
            <a:gd name="connsiteX4" fmla="*/ 2110964 w 4564723"/>
            <a:gd name="connsiteY4" fmla="*/ 951354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12367 w 4564723"/>
            <a:gd name="connsiteY3" fmla="*/ 957278 h 1986174"/>
            <a:gd name="connsiteX4" fmla="*/ 2110964 w 4564723"/>
            <a:gd name="connsiteY4" fmla="*/ 951354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12367 w 4564723"/>
            <a:gd name="connsiteY3" fmla="*/ 957278 h 1986174"/>
            <a:gd name="connsiteX4" fmla="*/ 2110964 w 4564723"/>
            <a:gd name="connsiteY4" fmla="*/ 997949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12367 w 4564723"/>
            <a:gd name="connsiteY3" fmla="*/ 957278 h 1986174"/>
            <a:gd name="connsiteX4" fmla="*/ 2117643 w 4564723"/>
            <a:gd name="connsiteY4" fmla="*/ 97132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12367 w 4564723"/>
            <a:gd name="connsiteY3" fmla="*/ 957278 h 1986174"/>
            <a:gd name="connsiteX4" fmla="*/ 2431539 w 4564723"/>
            <a:gd name="connsiteY4" fmla="*/ 44546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432942 w 4564723"/>
            <a:gd name="connsiteY3" fmla="*/ 471356 h 1986174"/>
            <a:gd name="connsiteX4" fmla="*/ 2431539 w 4564723"/>
            <a:gd name="connsiteY4" fmla="*/ 44546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432942 w 4564723"/>
            <a:gd name="connsiteY3" fmla="*/ 471356 h 1986174"/>
            <a:gd name="connsiteX4" fmla="*/ 2104285 w 4564723"/>
            <a:gd name="connsiteY4" fmla="*/ 958010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5688 w 4564723"/>
            <a:gd name="connsiteY3" fmla="*/ 970591 h 1986174"/>
            <a:gd name="connsiteX4" fmla="*/ 2104285 w 4564723"/>
            <a:gd name="connsiteY4" fmla="*/ 958010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5688 w 4564723"/>
            <a:gd name="connsiteY3" fmla="*/ 970591 h 1986174"/>
            <a:gd name="connsiteX4" fmla="*/ 2324681 w 4564723"/>
            <a:gd name="connsiteY4" fmla="*/ 35892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332763 w 4564723"/>
            <a:gd name="connsiteY3" fmla="*/ 371509 h 1986174"/>
            <a:gd name="connsiteX4" fmla="*/ 2324681 w 4564723"/>
            <a:gd name="connsiteY4" fmla="*/ 35892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332763 w 4564723"/>
            <a:gd name="connsiteY3" fmla="*/ 371509 h 1986174"/>
            <a:gd name="connsiteX4" fmla="*/ 2324681 w 4564723"/>
            <a:gd name="connsiteY4" fmla="*/ 35892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332763 w 4564723"/>
            <a:gd name="connsiteY3" fmla="*/ 371509 h 1986174"/>
            <a:gd name="connsiteX4" fmla="*/ 2324681 w 4564723"/>
            <a:gd name="connsiteY4" fmla="*/ 35892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332763 w 4564723"/>
            <a:gd name="connsiteY3" fmla="*/ 371509 h 1986174"/>
            <a:gd name="connsiteX4" fmla="*/ 2093655 w 4564723"/>
            <a:gd name="connsiteY4" fmla="*/ 968889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66756 w 4564723"/>
            <a:gd name="connsiteY3" fmla="*/ 731940 h 1986174"/>
            <a:gd name="connsiteX4" fmla="*/ 2093655 w 4564723"/>
            <a:gd name="connsiteY4" fmla="*/ 968889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7238 w 4564723"/>
            <a:gd name="connsiteY3" fmla="*/ 998105 h 1986174"/>
            <a:gd name="connsiteX4" fmla="*/ 2093655 w 4564723"/>
            <a:gd name="connsiteY4" fmla="*/ 968889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7238 w 4564723"/>
            <a:gd name="connsiteY3" fmla="*/ 998105 h 1986174"/>
            <a:gd name="connsiteX4" fmla="*/ 2098755 w 4564723"/>
            <a:gd name="connsiteY4" fmla="*/ 1009415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7238 w 4564723"/>
            <a:gd name="connsiteY3" fmla="*/ 998105 h 1986174"/>
            <a:gd name="connsiteX4" fmla="*/ 2083455 w 4564723"/>
            <a:gd name="connsiteY4" fmla="*/ 984087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27638 w 4564723"/>
            <a:gd name="connsiteY3" fmla="*/ 673904 h 1986174"/>
            <a:gd name="connsiteX4" fmla="*/ 2083455 w 4564723"/>
            <a:gd name="connsiteY4" fmla="*/ 984087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27638 w 4564723"/>
            <a:gd name="connsiteY3" fmla="*/ 673904 h 1986174"/>
            <a:gd name="connsiteX4" fmla="*/ 2119155 w 4564723"/>
            <a:gd name="connsiteY4" fmla="*/ 720674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27638 w 4564723"/>
            <a:gd name="connsiteY3" fmla="*/ 673904 h 1986174"/>
            <a:gd name="connsiteX4" fmla="*/ 2119155 w 4564723"/>
            <a:gd name="connsiteY4" fmla="*/ 695345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27638 w 4564723"/>
            <a:gd name="connsiteY3" fmla="*/ 673904 h 1986174"/>
            <a:gd name="connsiteX4" fmla="*/ 2114055 w 4564723"/>
            <a:gd name="connsiteY4" fmla="*/ 948627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17438 w 4564723"/>
            <a:gd name="connsiteY3" fmla="*/ 982909 h 1986174"/>
            <a:gd name="connsiteX4" fmla="*/ 2114055 w 4564723"/>
            <a:gd name="connsiteY4" fmla="*/ 948627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22539 w 4564723"/>
            <a:gd name="connsiteY3" fmla="*/ 1008237 h 1986174"/>
            <a:gd name="connsiteX4" fmla="*/ 2114055 w 4564723"/>
            <a:gd name="connsiteY4" fmla="*/ 948627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7239 w 4564723"/>
            <a:gd name="connsiteY3" fmla="*/ 972778 h 1986174"/>
            <a:gd name="connsiteX4" fmla="*/ 2114055 w 4564723"/>
            <a:gd name="connsiteY4" fmla="*/ 948627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7239 w 4564723"/>
            <a:gd name="connsiteY3" fmla="*/ 972778 h 1986174"/>
            <a:gd name="connsiteX4" fmla="*/ 2124254 w 4564723"/>
            <a:gd name="connsiteY4" fmla="*/ 99928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7239 w 4564723"/>
            <a:gd name="connsiteY3" fmla="*/ 972778 h 1986174"/>
            <a:gd name="connsiteX4" fmla="*/ 2108955 w 4564723"/>
            <a:gd name="connsiteY4" fmla="*/ 979020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7239 w 4564723"/>
            <a:gd name="connsiteY3" fmla="*/ 972778 h 1986174"/>
            <a:gd name="connsiteX4" fmla="*/ 2108955 w 4564723"/>
            <a:gd name="connsiteY4" fmla="*/ 96382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7239 w 4564723"/>
            <a:gd name="connsiteY3" fmla="*/ 972778 h 1986174"/>
            <a:gd name="connsiteX4" fmla="*/ 2261955 w 4564723"/>
            <a:gd name="connsiteY4" fmla="*/ 558572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09239 w 4564723"/>
            <a:gd name="connsiteY3" fmla="*/ 653642 h 1986174"/>
            <a:gd name="connsiteX4" fmla="*/ 2261955 w 4564723"/>
            <a:gd name="connsiteY4" fmla="*/ 558572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65339 w 4564723"/>
            <a:gd name="connsiteY3" fmla="*/ 623248 h 1986174"/>
            <a:gd name="connsiteX4" fmla="*/ 2261955 w 4564723"/>
            <a:gd name="connsiteY4" fmla="*/ 558572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50039 w 4564723"/>
            <a:gd name="connsiteY3" fmla="*/ 592854 h 1986174"/>
            <a:gd name="connsiteX4" fmla="*/ 2261955 w 4564723"/>
            <a:gd name="connsiteY4" fmla="*/ 558572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60240 w 4564723"/>
            <a:gd name="connsiteY3" fmla="*/ 572591 h 1986174"/>
            <a:gd name="connsiteX4" fmla="*/ 2261955 w 4564723"/>
            <a:gd name="connsiteY4" fmla="*/ 558572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260240 w 4564723"/>
            <a:gd name="connsiteY3" fmla="*/ 572591 h 1986174"/>
            <a:gd name="connsiteX4" fmla="*/ 2098755 w 4564723"/>
            <a:gd name="connsiteY4" fmla="*/ 933430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2140 w 4564723"/>
            <a:gd name="connsiteY3" fmla="*/ 952515 h 1986174"/>
            <a:gd name="connsiteX4" fmla="*/ 2098755 w 4564723"/>
            <a:gd name="connsiteY4" fmla="*/ 933430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2140 w 4564723"/>
            <a:gd name="connsiteY3" fmla="*/ 952515 h 1986174"/>
            <a:gd name="connsiteX4" fmla="*/ 2104202 w 4564723"/>
            <a:gd name="connsiteY4" fmla="*/ 960521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2140 w 4564723"/>
            <a:gd name="connsiteY3" fmla="*/ 952515 h 1986174"/>
            <a:gd name="connsiteX4" fmla="*/ 2093310 w 4564723"/>
            <a:gd name="connsiteY4" fmla="*/ 92259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2140 w 4564723"/>
            <a:gd name="connsiteY3" fmla="*/ 952515 h 1986174"/>
            <a:gd name="connsiteX4" fmla="*/ 2104203 w 4564723"/>
            <a:gd name="connsiteY4" fmla="*/ 95510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2140 w 4564723"/>
            <a:gd name="connsiteY3" fmla="*/ 952515 h 1986174"/>
            <a:gd name="connsiteX4" fmla="*/ 2104203 w 4564723"/>
            <a:gd name="connsiteY4" fmla="*/ 95510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2140 w 4564723"/>
            <a:gd name="connsiteY3" fmla="*/ 952515 h 1986174"/>
            <a:gd name="connsiteX4" fmla="*/ 2104203 w 4564723"/>
            <a:gd name="connsiteY4" fmla="*/ 93884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2140 w 4564723"/>
            <a:gd name="connsiteY3" fmla="*/ 952515 h 1986174"/>
            <a:gd name="connsiteX4" fmla="*/ 2104203 w 4564723"/>
            <a:gd name="connsiteY4" fmla="*/ 938848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02140 w 4564723"/>
            <a:gd name="connsiteY3" fmla="*/ 952515 h 1986174"/>
            <a:gd name="connsiteX4" fmla="*/ 2164114 w 4564723"/>
            <a:gd name="connsiteY4" fmla="*/ 695024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51159 w 4564723"/>
            <a:gd name="connsiteY3" fmla="*/ 735783 h 1986174"/>
            <a:gd name="connsiteX4" fmla="*/ 2164114 w 4564723"/>
            <a:gd name="connsiteY4" fmla="*/ 695024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51159 w 4564723"/>
            <a:gd name="connsiteY3" fmla="*/ 697854 h 1986174"/>
            <a:gd name="connsiteX4" fmla="*/ 2164114 w 4564723"/>
            <a:gd name="connsiteY4" fmla="*/ 695024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51159 w 4564723"/>
            <a:gd name="connsiteY3" fmla="*/ 697854 h 1986174"/>
            <a:gd name="connsiteX4" fmla="*/ 2147774 w 4564723"/>
            <a:gd name="connsiteY4" fmla="*/ 900920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62052 w 4564723"/>
            <a:gd name="connsiteY3" fmla="*/ 925424 h 1986174"/>
            <a:gd name="connsiteX4" fmla="*/ 2147774 w 4564723"/>
            <a:gd name="connsiteY4" fmla="*/ 900920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62052 w 4564723"/>
            <a:gd name="connsiteY3" fmla="*/ 925424 h 1986174"/>
            <a:gd name="connsiteX4" fmla="*/ 2142328 w 4564723"/>
            <a:gd name="connsiteY4" fmla="*/ 89008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162052 w 4564723"/>
            <a:gd name="connsiteY3" fmla="*/ 925424 h 1986174"/>
            <a:gd name="connsiteX4" fmla="*/ 2147774 w 4564723"/>
            <a:gd name="connsiteY4" fmla="*/ 85757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1720881 w 4564723"/>
            <a:gd name="connsiteY3" fmla="*/ 649089 h 1986174"/>
            <a:gd name="connsiteX4" fmla="*/ 2147774 w 4564723"/>
            <a:gd name="connsiteY4" fmla="*/ 85757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025889 w 4564723"/>
            <a:gd name="connsiteY3" fmla="*/ 822476 h 1986174"/>
            <a:gd name="connsiteX4" fmla="*/ 2147774 w 4564723"/>
            <a:gd name="connsiteY4" fmla="*/ 85757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1965977 w 4564723"/>
            <a:gd name="connsiteY3" fmla="*/ 882077 h 1986174"/>
            <a:gd name="connsiteX4" fmla="*/ 2147774 w 4564723"/>
            <a:gd name="connsiteY4" fmla="*/ 85757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025889 w 4564723"/>
            <a:gd name="connsiteY3" fmla="*/ 865823 h 1986174"/>
            <a:gd name="connsiteX4" fmla="*/ 2147774 w 4564723"/>
            <a:gd name="connsiteY4" fmla="*/ 85757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2025889 w 4564723"/>
            <a:gd name="connsiteY3" fmla="*/ 865823 h 1986174"/>
            <a:gd name="connsiteX4" fmla="*/ 2147774 w 4564723"/>
            <a:gd name="connsiteY4" fmla="*/ 85757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1742667 w 4564723"/>
            <a:gd name="connsiteY3" fmla="*/ 676182 h 1986174"/>
            <a:gd name="connsiteX4" fmla="*/ 2147774 w 4564723"/>
            <a:gd name="connsiteY4" fmla="*/ 85757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1742667 w 4564723"/>
            <a:gd name="connsiteY3" fmla="*/ 676182 h 1986174"/>
            <a:gd name="connsiteX4" fmla="*/ 2147774 w 4564723"/>
            <a:gd name="connsiteY4" fmla="*/ 857573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1742667 w 4564723"/>
            <a:gd name="connsiteY3" fmla="*/ 676182 h 1986174"/>
            <a:gd name="connsiteX4" fmla="*/ 1777408 w 4564723"/>
            <a:gd name="connsiteY4" fmla="*/ 700441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1742667 w 4564723"/>
            <a:gd name="connsiteY3" fmla="*/ 676182 h 1986174"/>
            <a:gd name="connsiteX4" fmla="*/ 1897233 w 4564723"/>
            <a:gd name="connsiteY4" fmla="*/ 819645 h 1986174"/>
            <a:gd name="connsiteX5" fmla="*/ 2333067 w 4564723"/>
            <a:gd name="connsiteY5" fmla="*/ 1986067 h 1986174"/>
            <a:gd name="connsiteX6" fmla="*/ 2883490 w 4564723"/>
            <a:gd name="connsiteY6" fmla="*/ 741103 h 1986174"/>
            <a:gd name="connsiteX7" fmla="*/ 3413277 w 4564723"/>
            <a:gd name="connsiteY7" fmla="*/ 851280 h 1986174"/>
            <a:gd name="connsiteX8" fmla="*/ 4017601 w 4564723"/>
            <a:gd name="connsiteY8" fmla="*/ 1526460 h 1986174"/>
            <a:gd name="connsiteX9" fmla="*/ 4014881 w 4564723"/>
            <a:gd name="connsiteY9" fmla="*/ 1537359 h 1986174"/>
            <a:gd name="connsiteX10" fmla="*/ 4564723 w 4564723"/>
            <a:gd name="connsiteY10" fmla="*/ 4097 h 1986174"/>
            <a:gd name="connsiteX0" fmla="*/ 0 w 4564723"/>
            <a:gd name="connsiteY0" fmla="*/ 1039493 h 1986174"/>
            <a:gd name="connsiteX1" fmla="*/ 632138 w 4564723"/>
            <a:gd name="connsiteY1" fmla="*/ 163298 h 1986174"/>
            <a:gd name="connsiteX2" fmla="*/ 1194985 w 4564723"/>
            <a:gd name="connsiteY2" fmla="*/ 1262073 h 1986174"/>
            <a:gd name="connsiteX3" fmla="*/ 1742667 w 4564723"/>
            <a:gd name="connsiteY3" fmla="*/ 676182 h 1986174"/>
            <a:gd name="connsiteX4" fmla="*/ 2333067 w 4564723"/>
            <a:gd name="connsiteY4" fmla="*/ 1986067 h 1986174"/>
            <a:gd name="connsiteX5" fmla="*/ 2883490 w 4564723"/>
            <a:gd name="connsiteY5" fmla="*/ 741103 h 1986174"/>
            <a:gd name="connsiteX6" fmla="*/ 3413277 w 4564723"/>
            <a:gd name="connsiteY6" fmla="*/ 851280 h 1986174"/>
            <a:gd name="connsiteX7" fmla="*/ 4017601 w 4564723"/>
            <a:gd name="connsiteY7" fmla="*/ 1526460 h 1986174"/>
            <a:gd name="connsiteX8" fmla="*/ 4014881 w 4564723"/>
            <a:gd name="connsiteY8" fmla="*/ 1537359 h 1986174"/>
            <a:gd name="connsiteX9" fmla="*/ 4564723 w 4564723"/>
            <a:gd name="connsiteY9" fmla="*/ 4097 h 1986174"/>
            <a:gd name="connsiteX0" fmla="*/ 0 w 4564723"/>
            <a:gd name="connsiteY0" fmla="*/ 1039493 h 1986175"/>
            <a:gd name="connsiteX1" fmla="*/ 632138 w 4564723"/>
            <a:gd name="connsiteY1" fmla="*/ 163298 h 1986175"/>
            <a:gd name="connsiteX2" fmla="*/ 1194985 w 4564723"/>
            <a:gd name="connsiteY2" fmla="*/ 1262073 h 1986175"/>
            <a:gd name="connsiteX3" fmla="*/ 1742667 w 4564723"/>
            <a:gd name="connsiteY3" fmla="*/ 676182 h 1986175"/>
            <a:gd name="connsiteX4" fmla="*/ 2281207 w 4564723"/>
            <a:gd name="connsiteY4" fmla="*/ 1986068 h 1986175"/>
            <a:gd name="connsiteX5" fmla="*/ 2883490 w 4564723"/>
            <a:gd name="connsiteY5" fmla="*/ 741103 h 1986175"/>
            <a:gd name="connsiteX6" fmla="*/ 3413277 w 4564723"/>
            <a:gd name="connsiteY6" fmla="*/ 851280 h 1986175"/>
            <a:gd name="connsiteX7" fmla="*/ 4017601 w 4564723"/>
            <a:gd name="connsiteY7" fmla="*/ 1526460 h 1986175"/>
            <a:gd name="connsiteX8" fmla="*/ 4014881 w 4564723"/>
            <a:gd name="connsiteY8" fmla="*/ 1537359 h 1986175"/>
            <a:gd name="connsiteX9" fmla="*/ 4564723 w 4564723"/>
            <a:gd name="connsiteY9" fmla="*/ 4097 h 1986175"/>
            <a:gd name="connsiteX0" fmla="*/ 0 w 4564723"/>
            <a:gd name="connsiteY0" fmla="*/ 1039493 h 1986175"/>
            <a:gd name="connsiteX1" fmla="*/ 632138 w 4564723"/>
            <a:gd name="connsiteY1" fmla="*/ 163298 h 1986175"/>
            <a:gd name="connsiteX2" fmla="*/ 1194985 w 4564723"/>
            <a:gd name="connsiteY2" fmla="*/ 1262073 h 1986175"/>
            <a:gd name="connsiteX3" fmla="*/ 1742667 w 4564723"/>
            <a:gd name="connsiteY3" fmla="*/ 676182 h 1986175"/>
            <a:gd name="connsiteX4" fmla="*/ 2281207 w 4564723"/>
            <a:gd name="connsiteY4" fmla="*/ 1986068 h 1986175"/>
            <a:gd name="connsiteX5" fmla="*/ 2883490 w 4564723"/>
            <a:gd name="connsiteY5" fmla="*/ 741103 h 1986175"/>
            <a:gd name="connsiteX6" fmla="*/ 3413277 w 4564723"/>
            <a:gd name="connsiteY6" fmla="*/ 851280 h 1986175"/>
            <a:gd name="connsiteX7" fmla="*/ 4017601 w 4564723"/>
            <a:gd name="connsiteY7" fmla="*/ 1526460 h 1986175"/>
            <a:gd name="connsiteX8" fmla="*/ 4014881 w 4564723"/>
            <a:gd name="connsiteY8" fmla="*/ 1537359 h 1986175"/>
            <a:gd name="connsiteX9" fmla="*/ 4564723 w 4564723"/>
            <a:gd name="connsiteY9" fmla="*/ 4097 h 1986175"/>
            <a:gd name="connsiteX0" fmla="*/ 0 w 4564723"/>
            <a:gd name="connsiteY0" fmla="*/ 1039493 h 1537752"/>
            <a:gd name="connsiteX1" fmla="*/ 632138 w 4564723"/>
            <a:gd name="connsiteY1" fmla="*/ 163298 h 1537752"/>
            <a:gd name="connsiteX2" fmla="*/ 1194985 w 4564723"/>
            <a:gd name="connsiteY2" fmla="*/ 1262073 h 1537752"/>
            <a:gd name="connsiteX3" fmla="*/ 1742667 w 4564723"/>
            <a:gd name="connsiteY3" fmla="*/ 676182 h 1537752"/>
            <a:gd name="connsiteX4" fmla="*/ 2435971 w 4564723"/>
            <a:gd name="connsiteY4" fmla="*/ 1335094 h 1537752"/>
            <a:gd name="connsiteX5" fmla="*/ 2883490 w 4564723"/>
            <a:gd name="connsiteY5" fmla="*/ 741103 h 1537752"/>
            <a:gd name="connsiteX6" fmla="*/ 3413277 w 4564723"/>
            <a:gd name="connsiteY6" fmla="*/ 851280 h 1537752"/>
            <a:gd name="connsiteX7" fmla="*/ 4017601 w 4564723"/>
            <a:gd name="connsiteY7" fmla="*/ 1526460 h 1537752"/>
            <a:gd name="connsiteX8" fmla="*/ 4014881 w 4564723"/>
            <a:gd name="connsiteY8" fmla="*/ 1537359 h 1537752"/>
            <a:gd name="connsiteX9" fmla="*/ 4564723 w 4564723"/>
            <a:gd name="connsiteY9" fmla="*/ 4097 h 1537752"/>
            <a:gd name="connsiteX0" fmla="*/ 0 w 4564723"/>
            <a:gd name="connsiteY0" fmla="*/ 1039493 h 2054180"/>
            <a:gd name="connsiteX1" fmla="*/ 632138 w 4564723"/>
            <a:gd name="connsiteY1" fmla="*/ 163298 h 2054180"/>
            <a:gd name="connsiteX2" fmla="*/ 1194985 w 4564723"/>
            <a:gd name="connsiteY2" fmla="*/ 1262073 h 2054180"/>
            <a:gd name="connsiteX3" fmla="*/ 1742667 w 4564723"/>
            <a:gd name="connsiteY3" fmla="*/ 676182 h 2054180"/>
            <a:gd name="connsiteX4" fmla="*/ 2397281 w 4564723"/>
            <a:gd name="connsiteY4" fmla="*/ 2054079 h 2054180"/>
            <a:gd name="connsiteX5" fmla="*/ 2883490 w 4564723"/>
            <a:gd name="connsiteY5" fmla="*/ 741103 h 2054180"/>
            <a:gd name="connsiteX6" fmla="*/ 3413277 w 4564723"/>
            <a:gd name="connsiteY6" fmla="*/ 851280 h 2054180"/>
            <a:gd name="connsiteX7" fmla="*/ 4017601 w 4564723"/>
            <a:gd name="connsiteY7" fmla="*/ 1526460 h 2054180"/>
            <a:gd name="connsiteX8" fmla="*/ 4014881 w 4564723"/>
            <a:gd name="connsiteY8" fmla="*/ 1537359 h 2054180"/>
            <a:gd name="connsiteX9" fmla="*/ 4564723 w 4564723"/>
            <a:gd name="connsiteY9" fmla="*/ 4097 h 2054180"/>
            <a:gd name="connsiteX0" fmla="*/ 0 w 4564723"/>
            <a:gd name="connsiteY0" fmla="*/ 1039493 h 2054180"/>
            <a:gd name="connsiteX1" fmla="*/ 632138 w 4564723"/>
            <a:gd name="connsiteY1" fmla="*/ 163298 h 2054180"/>
            <a:gd name="connsiteX2" fmla="*/ 1194985 w 4564723"/>
            <a:gd name="connsiteY2" fmla="*/ 1262073 h 2054180"/>
            <a:gd name="connsiteX3" fmla="*/ 1742667 w 4564723"/>
            <a:gd name="connsiteY3" fmla="*/ 676182 h 2054180"/>
            <a:gd name="connsiteX4" fmla="*/ 2397281 w 4564723"/>
            <a:gd name="connsiteY4" fmla="*/ 2054079 h 2054180"/>
            <a:gd name="connsiteX5" fmla="*/ 2883490 w 4564723"/>
            <a:gd name="connsiteY5" fmla="*/ 741103 h 2054180"/>
            <a:gd name="connsiteX6" fmla="*/ 3413277 w 4564723"/>
            <a:gd name="connsiteY6" fmla="*/ 851280 h 2054180"/>
            <a:gd name="connsiteX7" fmla="*/ 4017601 w 4564723"/>
            <a:gd name="connsiteY7" fmla="*/ 1526460 h 2054180"/>
            <a:gd name="connsiteX8" fmla="*/ 4014881 w 4564723"/>
            <a:gd name="connsiteY8" fmla="*/ 1537359 h 2054180"/>
            <a:gd name="connsiteX9" fmla="*/ 4564723 w 4564723"/>
            <a:gd name="connsiteY9" fmla="*/ 4097 h 2054180"/>
            <a:gd name="connsiteX0" fmla="*/ 0 w 4564723"/>
            <a:gd name="connsiteY0" fmla="*/ 1039493 h 2054180"/>
            <a:gd name="connsiteX1" fmla="*/ 632138 w 4564723"/>
            <a:gd name="connsiteY1" fmla="*/ 163298 h 2054180"/>
            <a:gd name="connsiteX2" fmla="*/ 1194985 w 4564723"/>
            <a:gd name="connsiteY2" fmla="*/ 1262073 h 2054180"/>
            <a:gd name="connsiteX3" fmla="*/ 1732994 w 4564723"/>
            <a:gd name="connsiteY3" fmla="*/ 365269 h 2054180"/>
            <a:gd name="connsiteX4" fmla="*/ 2397281 w 4564723"/>
            <a:gd name="connsiteY4" fmla="*/ 2054079 h 2054180"/>
            <a:gd name="connsiteX5" fmla="*/ 2883490 w 4564723"/>
            <a:gd name="connsiteY5" fmla="*/ 741103 h 2054180"/>
            <a:gd name="connsiteX6" fmla="*/ 3413277 w 4564723"/>
            <a:gd name="connsiteY6" fmla="*/ 851280 h 2054180"/>
            <a:gd name="connsiteX7" fmla="*/ 4017601 w 4564723"/>
            <a:gd name="connsiteY7" fmla="*/ 1526460 h 2054180"/>
            <a:gd name="connsiteX8" fmla="*/ 4014881 w 4564723"/>
            <a:gd name="connsiteY8" fmla="*/ 1537359 h 2054180"/>
            <a:gd name="connsiteX9" fmla="*/ 4564723 w 4564723"/>
            <a:gd name="connsiteY9" fmla="*/ 4097 h 2054180"/>
            <a:gd name="connsiteX0" fmla="*/ 0 w 4540324"/>
            <a:gd name="connsiteY0" fmla="*/ 65995 h 2162159"/>
            <a:gd name="connsiteX1" fmla="*/ 607739 w 4540324"/>
            <a:gd name="connsiteY1" fmla="*/ 271277 h 2162159"/>
            <a:gd name="connsiteX2" fmla="*/ 1170586 w 4540324"/>
            <a:gd name="connsiteY2" fmla="*/ 1370052 h 2162159"/>
            <a:gd name="connsiteX3" fmla="*/ 1708595 w 4540324"/>
            <a:gd name="connsiteY3" fmla="*/ 473248 h 2162159"/>
            <a:gd name="connsiteX4" fmla="*/ 2372882 w 4540324"/>
            <a:gd name="connsiteY4" fmla="*/ 2162058 h 2162159"/>
            <a:gd name="connsiteX5" fmla="*/ 2859091 w 4540324"/>
            <a:gd name="connsiteY5" fmla="*/ 849082 h 2162159"/>
            <a:gd name="connsiteX6" fmla="*/ 3388878 w 4540324"/>
            <a:gd name="connsiteY6" fmla="*/ 959259 h 2162159"/>
            <a:gd name="connsiteX7" fmla="*/ 3993202 w 4540324"/>
            <a:gd name="connsiteY7" fmla="*/ 1634439 h 2162159"/>
            <a:gd name="connsiteX8" fmla="*/ 3990482 w 4540324"/>
            <a:gd name="connsiteY8" fmla="*/ 1645338 h 2162159"/>
            <a:gd name="connsiteX9" fmla="*/ 4540324 w 4540324"/>
            <a:gd name="connsiteY9" fmla="*/ 112076 h 2162159"/>
            <a:gd name="connsiteX0" fmla="*/ 0 w 4540324"/>
            <a:gd name="connsiteY0" fmla="*/ 0 h 2096164"/>
            <a:gd name="connsiteX1" fmla="*/ 607739 w 4540324"/>
            <a:gd name="connsiteY1" fmla="*/ 205282 h 2096164"/>
            <a:gd name="connsiteX2" fmla="*/ 1170586 w 4540324"/>
            <a:gd name="connsiteY2" fmla="*/ 1304057 h 2096164"/>
            <a:gd name="connsiteX3" fmla="*/ 1708595 w 4540324"/>
            <a:gd name="connsiteY3" fmla="*/ 407253 h 2096164"/>
            <a:gd name="connsiteX4" fmla="*/ 2372882 w 4540324"/>
            <a:gd name="connsiteY4" fmla="*/ 2096063 h 2096164"/>
            <a:gd name="connsiteX5" fmla="*/ 2859091 w 4540324"/>
            <a:gd name="connsiteY5" fmla="*/ 783087 h 2096164"/>
            <a:gd name="connsiteX6" fmla="*/ 3388878 w 4540324"/>
            <a:gd name="connsiteY6" fmla="*/ 893264 h 2096164"/>
            <a:gd name="connsiteX7" fmla="*/ 3993202 w 4540324"/>
            <a:gd name="connsiteY7" fmla="*/ 1568444 h 2096164"/>
            <a:gd name="connsiteX8" fmla="*/ 3990482 w 4540324"/>
            <a:gd name="connsiteY8" fmla="*/ 1579343 h 2096164"/>
            <a:gd name="connsiteX9" fmla="*/ 4540324 w 4540324"/>
            <a:gd name="connsiteY9" fmla="*/ 46081 h 2096164"/>
            <a:gd name="connsiteX0" fmla="*/ 0 w 4540324"/>
            <a:gd name="connsiteY0" fmla="*/ 0 h 2096164"/>
            <a:gd name="connsiteX1" fmla="*/ 632138 w 4540324"/>
            <a:gd name="connsiteY1" fmla="*/ 1151574 h 2096164"/>
            <a:gd name="connsiteX2" fmla="*/ 1170586 w 4540324"/>
            <a:gd name="connsiteY2" fmla="*/ 1304057 h 2096164"/>
            <a:gd name="connsiteX3" fmla="*/ 1708595 w 4540324"/>
            <a:gd name="connsiteY3" fmla="*/ 407253 h 2096164"/>
            <a:gd name="connsiteX4" fmla="*/ 2372882 w 4540324"/>
            <a:gd name="connsiteY4" fmla="*/ 2096063 h 2096164"/>
            <a:gd name="connsiteX5" fmla="*/ 2859091 w 4540324"/>
            <a:gd name="connsiteY5" fmla="*/ 783087 h 2096164"/>
            <a:gd name="connsiteX6" fmla="*/ 3388878 w 4540324"/>
            <a:gd name="connsiteY6" fmla="*/ 893264 h 2096164"/>
            <a:gd name="connsiteX7" fmla="*/ 3993202 w 4540324"/>
            <a:gd name="connsiteY7" fmla="*/ 1568444 h 2096164"/>
            <a:gd name="connsiteX8" fmla="*/ 3990482 w 4540324"/>
            <a:gd name="connsiteY8" fmla="*/ 1579343 h 2096164"/>
            <a:gd name="connsiteX9" fmla="*/ 4540324 w 4540324"/>
            <a:gd name="connsiteY9" fmla="*/ 46081 h 2096164"/>
            <a:gd name="connsiteX0" fmla="*/ 0 w 4540324"/>
            <a:gd name="connsiteY0" fmla="*/ 0 h 2096164"/>
            <a:gd name="connsiteX1" fmla="*/ 632138 w 4540324"/>
            <a:gd name="connsiteY1" fmla="*/ 1151574 h 2096164"/>
            <a:gd name="connsiteX2" fmla="*/ 1170586 w 4540324"/>
            <a:gd name="connsiteY2" fmla="*/ 1304057 h 2096164"/>
            <a:gd name="connsiteX3" fmla="*/ 1708595 w 4540324"/>
            <a:gd name="connsiteY3" fmla="*/ 407253 h 2096164"/>
            <a:gd name="connsiteX4" fmla="*/ 2372882 w 4540324"/>
            <a:gd name="connsiteY4" fmla="*/ 2096063 h 2096164"/>
            <a:gd name="connsiteX5" fmla="*/ 2859091 w 4540324"/>
            <a:gd name="connsiteY5" fmla="*/ 783087 h 2096164"/>
            <a:gd name="connsiteX6" fmla="*/ 3388878 w 4540324"/>
            <a:gd name="connsiteY6" fmla="*/ 893264 h 2096164"/>
            <a:gd name="connsiteX7" fmla="*/ 3993202 w 4540324"/>
            <a:gd name="connsiteY7" fmla="*/ 1568444 h 2096164"/>
            <a:gd name="connsiteX8" fmla="*/ 3990482 w 4540324"/>
            <a:gd name="connsiteY8" fmla="*/ 1579343 h 2096164"/>
            <a:gd name="connsiteX9" fmla="*/ 4540324 w 4540324"/>
            <a:gd name="connsiteY9" fmla="*/ 46081 h 2096164"/>
            <a:gd name="connsiteX0" fmla="*/ 0 w 4540324"/>
            <a:gd name="connsiteY0" fmla="*/ 0 h 2096164"/>
            <a:gd name="connsiteX1" fmla="*/ 632139 w 4540324"/>
            <a:gd name="connsiteY1" fmla="*/ 1114707 h 2096164"/>
            <a:gd name="connsiteX2" fmla="*/ 1170586 w 4540324"/>
            <a:gd name="connsiteY2" fmla="*/ 1304057 h 2096164"/>
            <a:gd name="connsiteX3" fmla="*/ 1708595 w 4540324"/>
            <a:gd name="connsiteY3" fmla="*/ 407253 h 2096164"/>
            <a:gd name="connsiteX4" fmla="*/ 2372882 w 4540324"/>
            <a:gd name="connsiteY4" fmla="*/ 2096063 h 2096164"/>
            <a:gd name="connsiteX5" fmla="*/ 2859091 w 4540324"/>
            <a:gd name="connsiteY5" fmla="*/ 783087 h 2096164"/>
            <a:gd name="connsiteX6" fmla="*/ 3388878 w 4540324"/>
            <a:gd name="connsiteY6" fmla="*/ 893264 h 2096164"/>
            <a:gd name="connsiteX7" fmla="*/ 3993202 w 4540324"/>
            <a:gd name="connsiteY7" fmla="*/ 1568444 h 2096164"/>
            <a:gd name="connsiteX8" fmla="*/ 3990482 w 4540324"/>
            <a:gd name="connsiteY8" fmla="*/ 1579343 h 2096164"/>
            <a:gd name="connsiteX9" fmla="*/ 4540324 w 4540324"/>
            <a:gd name="connsiteY9" fmla="*/ 46081 h 2096164"/>
            <a:gd name="connsiteX0" fmla="*/ 0 w 4540324"/>
            <a:gd name="connsiteY0" fmla="*/ 0 h 2096164"/>
            <a:gd name="connsiteX1" fmla="*/ 632139 w 4540324"/>
            <a:gd name="connsiteY1" fmla="*/ 1114707 h 2096164"/>
            <a:gd name="connsiteX2" fmla="*/ 1170586 w 4540324"/>
            <a:gd name="connsiteY2" fmla="*/ 173423 h 2096164"/>
            <a:gd name="connsiteX3" fmla="*/ 1708595 w 4540324"/>
            <a:gd name="connsiteY3" fmla="*/ 407253 h 2096164"/>
            <a:gd name="connsiteX4" fmla="*/ 2372882 w 4540324"/>
            <a:gd name="connsiteY4" fmla="*/ 2096063 h 2096164"/>
            <a:gd name="connsiteX5" fmla="*/ 2859091 w 4540324"/>
            <a:gd name="connsiteY5" fmla="*/ 783087 h 2096164"/>
            <a:gd name="connsiteX6" fmla="*/ 3388878 w 4540324"/>
            <a:gd name="connsiteY6" fmla="*/ 893264 h 2096164"/>
            <a:gd name="connsiteX7" fmla="*/ 3993202 w 4540324"/>
            <a:gd name="connsiteY7" fmla="*/ 1568444 h 2096164"/>
            <a:gd name="connsiteX8" fmla="*/ 3990482 w 4540324"/>
            <a:gd name="connsiteY8" fmla="*/ 1579343 h 2096164"/>
            <a:gd name="connsiteX9" fmla="*/ 4540324 w 4540324"/>
            <a:gd name="connsiteY9" fmla="*/ 46081 h 2096164"/>
            <a:gd name="connsiteX0" fmla="*/ 0 w 4540324"/>
            <a:gd name="connsiteY0" fmla="*/ 0 h 2096164"/>
            <a:gd name="connsiteX1" fmla="*/ 632139 w 4540324"/>
            <a:gd name="connsiteY1" fmla="*/ 1114707 h 2096164"/>
            <a:gd name="connsiteX2" fmla="*/ 1170586 w 4540324"/>
            <a:gd name="connsiteY2" fmla="*/ 173423 h 2096164"/>
            <a:gd name="connsiteX3" fmla="*/ 1745193 w 4540324"/>
            <a:gd name="connsiteY3" fmla="*/ 1316676 h 2096164"/>
            <a:gd name="connsiteX4" fmla="*/ 2372882 w 4540324"/>
            <a:gd name="connsiteY4" fmla="*/ 2096063 h 2096164"/>
            <a:gd name="connsiteX5" fmla="*/ 2859091 w 4540324"/>
            <a:gd name="connsiteY5" fmla="*/ 783087 h 2096164"/>
            <a:gd name="connsiteX6" fmla="*/ 3388878 w 4540324"/>
            <a:gd name="connsiteY6" fmla="*/ 893264 h 2096164"/>
            <a:gd name="connsiteX7" fmla="*/ 3993202 w 4540324"/>
            <a:gd name="connsiteY7" fmla="*/ 1568444 h 2096164"/>
            <a:gd name="connsiteX8" fmla="*/ 3990482 w 4540324"/>
            <a:gd name="connsiteY8" fmla="*/ 1579343 h 2096164"/>
            <a:gd name="connsiteX9" fmla="*/ 4540324 w 4540324"/>
            <a:gd name="connsiteY9" fmla="*/ 46081 h 2096164"/>
            <a:gd name="connsiteX0" fmla="*/ 0 w 4540324"/>
            <a:gd name="connsiteY0" fmla="*/ 0 h 1579736"/>
            <a:gd name="connsiteX1" fmla="*/ 632139 w 4540324"/>
            <a:gd name="connsiteY1" fmla="*/ 1114707 h 1579736"/>
            <a:gd name="connsiteX2" fmla="*/ 1170586 w 4540324"/>
            <a:gd name="connsiteY2" fmla="*/ 173423 h 1579736"/>
            <a:gd name="connsiteX3" fmla="*/ 1745193 w 4540324"/>
            <a:gd name="connsiteY3" fmla="*/ 1316676 h 1579736"/>
            <a:gd name="connsiteX4" fmla="*/ 2324085 w 4540324"/>
            <a:gd name="connsiteY4" fmla="*/ 609034 h 1579736"/>
            <a:gd name="connsiteX5" fmla="*/ 2859091 w 4540324"/>
            <a:gd name="connsiteY5" fmla="*/ 783087 h 1579736"/>
            <a:gd name="connsiteX6" fmla="*/ 3388878 w 4540324"/>
            <a:gd name="connsiteY6" fmla="*/ 893264 h 1579736"/>
            <a:gd name="connsiteX7" fmla="*/ 3993202 w 4540324"/>
            <a:gd name="connsiteY7" fmla="*/ 1568444 h 1579736"/>
            <a:gd name="connsiteX8" fmla="*/ 3990482 w 4540324"/>
            <a:gd name="connsiteY8" fmla="*/ 1579343 h 1579736"/>
            <a:gd name="connsiteX9" fmla="*/ 4540324 w 4540324"/>
            <a:gd name="connsiteY9" fmla="*/ 46081 h 1579736"/>
            <a:gd name="connsiteX0" fmla="*/ 0 w 4540324"/>
            <a:gd name="connsiteY0" fmla="*/ 0 h 2282474"/>
            <a:gd name="connsiteX1" fmla="*/ 632139 w 4540324"/>
            <a:gd name="connsiteY1" fmla="*/ 1114707 h 2282474"/>
            <a:gd name="connsiteX2" fmla="*/ 1170586 w 4540324"/>
            <a:gd name="connsiteY2" fmla="*/ 173423 h 2282474"/>
            <a:gd name="connsiteX3" fmla="*/ 1745193 w 4540324"/>
            <a:gd name="connsiteY3" fmla="*/ 1316676 h 2282474"/>
            <a:gd name="connsiteX4" fmla="*/ 2324085 w 4540324"/>
            <a:gd name="connsiteY4" fmla="*/ 609034 h 2282474"/>
            <a:gd name="connsiteX5" fmla="*/ 2871290 w 4540324"/>
            <a:gd name="connsiteY5" fmla="*/ 2282406 h 2282474"/>
            <a:gd name="connsiteX6" fmla="*/ 3388878 w 4540324"/>
            <a:gd name="connsiteY6" fmla="*/ 893264 h 2282474"/>
            <a:gd name="connsiteX7" fmla="*/ 3993202 w 4540324"/>
            <a:gd name="connsiteY7" fmla="*/ 1568444 h 2282474"/>
            <a:gd name="connsiteX8" fmla="*/ 3990482 w 4540324"/>
            <a:gd name="connsiteY8" fmla="*/ 1579343 h 2282474"/>
            <a:gd name="connsiteX9" fmla="*/ 4540324 w 4540324"/>
            <a:gd name="connsiteY9" fmla="*/ 46081 h 2282474"/>
            <a:gd name="connsiteX0" fmla="*/ 0 w 4540324"/>
            <a:gd name="connsiteY0" fmla="*/ 0 h 2282474"/>
            <a:gd name="connsiteX1" fmla="*/ 632139 w 4540324"/>
            <a:gd name="connsiteY1" fmla="*/ 1114707 h 2282474"/>
            <a:gd name="connsiteX2" fmla="*/ 1170586 w 4540324"/>
            <a:gd name="connsiteY2" fmla="*/ 173423 h 2282474"/>
            <a:gd name="connsiteX3" fmla="*/ 1745193 w 4540324"/>
            <a:gd name="connsiteY3" fmla="*/ 1316676 h 2282474"/>
            <a:gd name="connsiteX4" fmla="*/ 2324085 w 4540324"/>
            <a:gd name="connsiteY4" fmla="*/ 609034 h 2282474"/>
            <a:gd name="connsiteX5" fmla="*/ 2871290 w 4540324"/>
            <a:gd name="connsiteY5" fmla="*/ 2282406 h 2282474"/>
            <a:gd name="connsiteX6" fmla="*/ 3388878 w 4540324"/>
            <a:gd name="connsiteY6" fmla="*/ 401683 h 2282474"/>
            <a:gd name="connsiteX7" fmla="*/ 3993202 w 4540324"/>
            <a:gd name="connsiteY7" fmla="*/ 1568444 h 2282474"/>
            <a:gd name="connsiteX8" fmla="*/ 3990482 w 4540324"/>
            <a:gd name="connsiteY8" fmla="*/ 1579343 h 2282474"/>
            <a:gd name="connsiteX9" fmla="*/ 4540324 w 4540324"/>
            <a:gd name="connsiteY9" fmla="*/ 46081 h 2282474"/>
            <a:gd name="connsiteX0" fmla="*/ 0 w 4540324"/>
            <a:gd name="connsiteY0" fmla="*/ 0 h 2282474"/>
            <a:gd name="connsiteX1" fmla="*/ 632139 w 4540324"/>
            <a:gd name="connsiteY1" fmla="*/ 1114707 h 2282474"/>
            <a:gd name="connsiteX2" fmla="*/ 1170586 w 4540324"/>
            <a:gd name="connsiteY2" fmla="*/ 173423 h 2282474"/>
            <a:gd name="connsiteX3" fmla="*/ 1745193 w 4540324"/>
            <a:gd name="connsiteY3" fmla="*/ 1316676 h 2282474"/>
            <a:gd name="connsiteX4" fmla="*/ 2324085 w 4540324"/>
            <a:gd name="connsiteY4" fmla="*/ 609034 h 2282474"/>
            <a:gd name="connsiteX5" fmla="*/ 2871290 w 4540324"/>
            <a:gd name="connsiteY5" fmla="*/ 2282406 h 2282474"/>
            <a:gd name="connsiteX6" fmla="*/ 3388878 w 4540324"/>
            <a:gd name="connsiteY6" fmla="*/ 401683 h 2282474"/>
            <a:gd name="connsiteX7" fmla="*/ 3993202 w 4540324"/>
            <a:gd name="connsiteY7" fmla="*/ 1568444 h 2282474"/>
            <a:gd name="connsiteX8" fmla="*/ 3990482 w 4540324"/>
            <a:gd name="connsiteY8" fmla="*/ 927999 h 2282474"/>
            <a:gd name="connsiteX9" fmla="*/ 4540324 w 4540324"/>
            <a:gd name="connsiteY9" fmla="*/ 46081 h 2282474"/>
            <a:gd name="connsiteX0" fmla="*/ 0 w 4540324"/>
            <a:gd name="connsiteY0" fmla="*/ 0 h 2282474"/>
            <a:gd name="connsiteX1" fmla="*/ 632139 w 4540324"/>
            <a:gd name="connsiteY1" fmla="*/ 1114707 h 2282474"/>
            <a:gd name="connsiteX2" fmla="*/ 1170586 w 4540324"/>
            <a:gd name="connsiteY2" fmla="*/ 173423 h 2282474"/>
            <a:gd name="connsiteX3" fmla="*/ 1745193 w 4540324"/>
            <a:gd name="connsiteY3" fmla="*/ 1316676 h 2282474"/>
            <a:gd name="connsiteX4" fmla="*/ 2324085 w 4540324"/>
            <a:gd name="connsiteY4" fmla="*/ 609034 h 2282474"/>
            <a:gd name="connsiteX5" fmla="*/ 2871290 w 4540324"/>
            <a:gd name="connsiteY5" fmla="*/ 2282406 h 2282474"/>
            <a:gd name="connsiteX6" fmla="*/ 3388878 w 4540324"/>
            <a:gd name="connsiteY6" fmla="*/ 401683 h 2282474"/>
            <a:gd name="connsiteX7" fmla="*/ 4005401 w 4540324"/>
            <a:gd name="connsiteY7" fmla="*/ 917100 h 2282474"/>
            <a:gd name="connsiteX8" fmla="*/ 3990482 w 4540324"/>
            <a:gd name="connsiteY8" fmla="*/ 927999 h 2282474"/>
            <a:gd name="connsiteX9" fmla="*/ 4540324 w 4540324"/>
            <a:gd name="connsiteY9" fmla="*/ 46081 h 2282474"/>
            <a:gd name="connsiteX0" fmla="*/ 0 w 4564723"/>
            <a:gd name="connsiteY0" fmla="*/ 0 h 2282474"/>
            <a:gd name="connsiteX1" fmla="*/ 632139 w 4564723"/>
            <a:gd name="connsiteY1" fmla="*/ 1114707 h 2282474"/>
            <a:gd name="connsiteX2" fmla="*/ 1170586 w 4564723"/>
            <a:gd name="connsiteY2" fmla="*/ 173423 h 2282474"/>
            <a:gd name="connsiteX3" fmla="*/ 1745193 w 4564723"/>
            <a:gd name="connsiteY3" fmla="*/ 1316676 h 2282474"/>
            <a:gd name="connsiteX4" fmla="*/ 2324085 w 4564723"/>
            <a:gd name="connsiteY4" fmla="*/ 609034 h 2282474"/>
            <a:gd name="connsiteX5" fmla="*/ 2871290 w 4564723"/>
            <a:gd name="connsiteY5" fmla="*/ 2282406 h 2282474"/>
            <a:gd name="connsiteX6" fmla="*/ 3388878 w 4564723"/>
            <a:gd name="connsiteY6" fmla="*/ 401683 h 2282474"/>
            <a:gd name="connsiteX7" fmla="*/ 4005401 w 4564723"/>
            <a:gd name="connsiteY7" fmla="*/ 917100 h 2282474"/>
            <a:gd name="connsiteX8" fmla="*/ 3990482 w 4564723"/>
            <a:gd name="connsiteY8" fmla="*/ 927999 h 2282474"/>
            <a:gd name="connsiteX9" fmla="*/ 4564723 w 4564723"/>
            <a:gd name="connsiteY9" fmla="*/ 1631428 h 2282474"/>
            <a:gd name="connsiteX0" fmla="*/ 0 w 4564723"/>
            <a:gd name="connsiteY0" fmla="*/ 0 h 2282474"/>
            <a:gd name="connsiteX1" fmla="*/ 729735 w 4564723"/>
            <a:gd name="connsiteY1" fmla="*/ 746022 h 2282474"/>
            <a:gd name="connsiteX2" fmla="*/ 1170586 w 4564723"/>
            <a:gd name="connsiteY2" fmla="*/ 173423 h 2282474"/>
            <a:gd name="connsiteX3" fmla="*/ 1745193 w 4564723"/>
            <a:gd name="connsiteY3" fmla="*/ 1316676 h 2282474"/>
            <a:gd name="connsiteX4" fmla="*/ 2324085 w 4564723"/>
            <a:gd name="connsiteY4" fmla="*/ 609034 h 2282474"/>
            <a:gd name="connsiteX5" fmla="*/ 2871290 w 4564723"/>
            <a:gd name="connsiteY5" fmla="*/ 2282406 h 2282474"/>
            <a:gd name="connsiteX6" fmla="*/ 3388878 w 4564723"/>
            <a:gd name="connsiteY6" fmla="*/ 401683 h 2282474"/>
            <a:gd name="connsiteX7" fmla="*/ 4005401 w 4564723"/>
            <a:gd name="connsiteY7" fmla="*/ 917100 h 2282474"/>
            <a:gd name="connsiteX8" fmla="*/ 3990482 w 4564723"/>
            <a:gd name="connsiteY8" fmla="*/ 927999 h 2282474"/>
            <a:gd name="connsiteX9" fmla="*/ 4564723 w 4564723"/>
            <a:gd name="connsiteY9" fmla="*/ 1631428 h 2282474"/>
            <a:gd name="connsiteX0" fmla="*/ 0 w 4564723"/>
            <a:gd name="connsiteY0" fmla="*/ 0 h 2282474"/>
            <a:gd name="connsiteX1" fmla="*/ 729735 w 4564723"/>
            <a:gd name="connsiteY1" fmla="*/ 746022 h 2282474"/>
            <a:gd name="connsiteX2" fmla="*/ 1170586 w 4564723"/>
            <a:gd name="connsiteY2" fmla="*/ 173423 h 2282474"/>
            <a:gd name="connsiteX3" fmla="*/ 1745193 w 4564723"/>
            <a:gd name="connsiteY3" fmla="*/ 1316676 h 2282474"/>
            <a:gd name="connsiteX4" fmla="*/ 2324085 w 4564723"/>
            <a:gd name="connsiteY4" fmla="*/ 609034 h 2282474"/>
            <a:gd name="connsiteX5" fmla="*/ 2871290 w 4564723"/>
            <a:gd name="connsiteY5" fmla="*/ 2282406 h 2282474"/>
            <a:gd name="connsiteX6" fmla="*/ 3388878 w 4564723"/>
            <a:gd name="connsiteY6" fmla="*/ 401683 h 2282474"/>
            <a:gd name="connsiteX7" fmla="*/ 4005401 w 4564723"/>
            <a:gd name="connsiteY7" fmla="*/ 917100 h 2282474"/>
            <a:gd name="connsiteX8" fmla="*/ 3990482 w 4564723"/>
            <a:gd name="connsiteY8" fmla="*/ 927999 h 2282474"/>
            <a:gd name="connsiteX9" fmla="*/ 4564723 w 4564723"/>
            <a:gd name="connsiteY9" fmla="*/ 1631428 h 2282474"/>
            <a:gd name="connsiteX0" fmla="*/ 0 w 4564723"/>
            <a:gd name="connsiteY0" fmla="*/ 0 h 2282474"/>
            <a:gd name="connsiteX1" fmla="*/ 741934 w 4564723"/>
            <a:gd name="connsiteY1" fmla="*/ 758312 h 2282474"/>
            <a:gd name="connsiteX2" fmla="*/ 1170586 w 4564723"/>
            <a:gd name="connsiteY2" fmla="*/ 173423 h 2282474"/>
            <a:gd name="connsiteX3" fmla="*/ 1745193 w 4564723"/>
            <a:gd name="connsiteY3" fmla="*/ 1316676 h 2282474"/>
            <a:gd name="connsiteX4" fmla="*/ 2324085 w 4564723"/>
            <a:gd name="connsiteY4" fmla="*/ 609034 h 2282474"/>
            <a:gd name="connsiteX5" fmla="*/ 2871290 w 4564723"/>
            <a:gd name="connsiteY5" fmla="*/ 2282406 h 2282474"/>
            <a:gd name="connsiteX6" fmla="*/ 3388878 w 4564723"/>
            <a:gd name="connsiteY6" fmla="*/ 401683 h 2282474"/>
            <a:gd name="connsiteX7" fmla="*/ 4005401 w 4564723"/>
            <a:gd name="connsiteY7" fmla="*/ 917100 h 2282474"/>
            <a:gd name="connsiteX8" fmla="*/ 3990482 w 4564723"/>
            <a:gd name="connsiteY8" fmla="*/ 927999 h 2282474"/>
            <a:gd name="connsiteX9" fmla="*/ 4564723 w 4564723"/>
            <a:gd name="connsiteY9" fmla="*/ 1631428 h 2282474"/>
            <a:gd name="connsiteX0" fmla="*/ 0 w 4564723"/>
            <a:gd name="connsiteY0" fmla="*/ 0 h 2282474"/>
            <a:gd name="connsiteX1" fmla="*/ 644337 w 4564723"/>
            <a:gd name="connsiteY1" fmla="*/ 1126997 h 2282474"/>
            <a:gd name="connsiteX2" fmla="*/ 1170586 w 4564723"/>
            <a:gd name="connsiteY2" fmla="*/ 173423 h 2282474"/>
            <a:gd name="connsiteX3" fmla="*/ 1745193 w 4564723"/>
            <a:gd name="connsiteY3" fmla="*/ 1316676 h 2282474"/>
            <a:gd name="connsiteX4" fmla="*/ 2324085 w 4564723"/>
            <a:gd name="connsiteY4" fmla="*/ 609034 h 2282474"/>
            <a:gd name="connsiteX5" fmla="*/ 2871290 w 4564723"/>
            <a:gd name="connsiteY5" fmla="*/ 2282406 h 2282474"/>
            <a:gd name="connsiteX6" fmla="*/ 3388878 w 4564723"/>
            <a:gd name="connsiteY6" fmla="*/ 401683 h 2282474"/>
            <a:gd name="connsiteX7" fmla="*/ 4005401 w 4564723"/>
            <a:gd name="connsiteY7" fmla="*/ 917100 h 2282474"/>
            <a:gd name="connsiteX8" fmla="*/ 3990482 w 4564723"/>
            <a:gd name="connsiteY8" fmla="*/ 927999 h 2282474"/>
            <a:gd name="connsiteX9" fmla="*/ 4564723 w 4564723"/>
            <a:gd name="connsiteY9" fmla="*/ 1631428 h 2282474"/>
            <a:gd name="connsiteX0" fmla="*/ 0 w 4625720"/>
            <a:gd name="connsiteY0" fmla="*/ 158642 h 2109300"/>
            <a:gd name="connsiteX1" fmla="*/ 705334 w 4625720"/>
            <a:gd name="connsiteY1" fmla="*/ 953823 h 2109300"/>
            <a:gd name="connsiteX2" fmla="*/ 1231583 w 4625720"/>
            <a:gd name="connsiteY2" fmla="*/ 249 h 2109300"/>
            <a:gd name="connsiteX3" fmla="*/ 1806190 w 4625720"/>
            <a:gd name="connsiteY3" fmla="*/ 1143502 h 2109300"/>
            <a:gd name="connsiteX4" fmla="*/ 2385082 w 4625720"/>
            <a:gd name="connsiteY4" fmla="*/ 435860 h 2109300"/>
            <a:gd name="connsiteX5" fmla="*/ 2932287 w 4625720"/>
            <a:gd name="connsiteY5" fmla="*/ 2109232 h 2109300"/>
            <a:gd name="connsiteX6" fmla="*/ 3449875 w 4625720"/>
            <a:gd name="connsiteY6" fmla="*/ 228509 h 2109300"/>
            <a:gd name="connsiteX7" fmla="*/ 4066398 w 4625720"/>
            <a:gd name="connsiteY7" fmla="*/ 743926 h 2109300"/>
            <a:gd name="connsiteX8" fmla="*/ 4051479 w 4625720"/>
            <a:gd name="connsiteY8" fmla="*/ 754825 h 2109300"/>
            <a:gd name="connsiteX9" fmla="*/ 4625720 w 4625720"/>
            <a:gd name="connsiteY9" fmla="*/ 1458254 h 2109300"/>
            <a:gd name="connsiteX0" fmla="*/ 0 w 4625720"/>
            <a:gd name="connsiteY0" fmla="*/ 158564 h 2109222"/>
            <a:gd name="connsiteX1" fmla="*/ 607738 w 4625720"/>
            <a:gd name="connsiteY1" fmla="*/ 1383878 h 2109222"/>
            <a:gd name="connsiteX2" fmla="*/ 1231583 w 4625720"/>
            <a:gd name="connsiteY2" fmla="*/ 171 h 2109222"/>
            <a:gd name="connsiteX3" fmla="*/ 1806190 w 4625720"/>
            <a:gd name="connsiteY3" fmla="*/ 1143424 h 2109222"/>
            <a:gd name="connsiteX4" fmla="*/ 2385082 w 4625720"/>
            <a:gd name="connsiteY4" fmla="*/ 435782 h 2109222"/>
            <a:gd name="connsiteX5" fmla="*/ 2932287 w 4625720"/>
            <a:gd name="connsiteY5" fmla="*/ 2109154 h 2109222"/>
            <a:gd name="connsiteX6" fmla="*/ 3449875 w 4625720"/>
            <a:gd name="connsiteY6" fmla="*/ 228431 h 2109222"/>
            <a:gd name="connsiteX7" fmla="*/ 4066398 w 4625720"/>
            <a:gd name="connsiteY7" fmla="*/ 743848 h 2109222"/>
            <a:gd name="connsiteX8" fmla="*/ 4051479 w 4625720"/>
            <a:gd name="connsiteY8" fmla="*/ 754747 h 2109222"/>
            <a:gd name="connsiteX9" fmla="*/ 4625720 w 4625720"/>
            <a:gd name="connsiteY9" fmla="*/ 1458176 h 2109222"/>
            <a:gd name="connsiteX0" fmla="*/ 0 w 4625720"/>
            <a:gd name="connsiteY0" fmla="*/ 0 h 1950658"/>
            <a:gd name="connsiteX1" fmla="*/ 607738 w 4625720"/>
            <a:gd name="connsiteY1" fmla="*/ 1225314 h 1950658"/>
            <a:gd name="connsiteX2" fmla="*/ 1146187 w 4625720"/>
            <a:gd name="connsiteY2" fmla="*/ 25950 h 1950658"/>
            <a:gd name="connsiteX3" fmla="*/ 1806190 w 4625720"/>
            <a:gd name="connsiteY3" fmla="*/ 984860 h 1950658"/>
            <a:gd name="connsiteX4" fmla="*/ 2385082 w 4625720"/>
            <a:gd name="connsiteY4" fmla="*/ 277218 h 1950658"/>
            <a:gd name="connsiteX5" fmla="*/ 2932287 w 4625720"/>
            <a:gd name="connsiteY5" fmla="*/ 1950590 h 1950658"/>
            <a:gd name="connsiteX6" fmla="*/ 3449875 w 4625720"/>
            <a:gd name="connsiteY6" fmla="*/ 69867 h 1950658"/>
            <a:gd name="connsiteX7" fmla="*/ 4066398 w 4625720"/>
            <a:gd name="connsiteY7" fmla="*/ 585284 h 1950658"/>
            <a:gd name="connsiteX8" fmla="*/ 4051479 w 4625720"/>
            <a:gd name="connsiteY8" fmla="*/ 596183 h 1950658"/>
            <a:gd name="connsiteX9" fmla="*/ 4625720 w 4625720"/>
            <a:gd name="connsiteY9" fmla="*/ 1299612 h 1950658"/>
            <a:gd name="connsiteX0" fmla="*/ 0 w 4625720"/>
            <a:gd name="connsiteY0" fmla="*/ 0 h 1950658"/>
            <a:gd name="connsiteX1" fmla="*/ 607738 w 4625720"/>
            <a:gd name="connsiteY1" fmla="*/ 1225314 h 1950658"/>
            <a:gd name="connsiteX2" fmla="*/ 1146187 w 4625720"/>
            <a:gd name="connsiteY2" fmla="*/ 25950 h 1950658"/>
            <a:gd name="connsiteX3" fmla="*/ 1671996 w 4625720"/>
            <a:gd name="connsiteY3" fmla="*/ 530148 h 1950658"/>
            <a:gd name="connsiteX4" fmla="*/ 2385082 w 4625720"/>
            <a:gd name="connsiteY4" fmla="*/ 277218 h 1950658"/>
            <a:gd name="connsiteX5" fmla="*/ 2932287 w 4625720"/>
            <a:gd name="connsiteY5" fmla="*/ 1950590 h 1950658"/>
            <a:gd name="connsiteX6" fmla="*/ 3449875 w 4625720"/>
            <a:gd name="connsiteY6" fmla="*/ 69867 h 1950658"/>
            <a:gd name="connsiteX7" fmla="*/ 4066398 w 4625720"/>
            <a:gd name="connsiteY7" fmla="*/ 585284 h 1950658"/>
            <a:gd name="connsiteX8" fmla="*/ 4051479 w 4625720"/>
            <a:gd name="connsiteY8" fmla="*/ 596183 h 1950658"/>
            <a:gd name="connsiteX9" fmla="*/ 4625720 w 4625720"/>
            <a:gd name="connsiteY9" fmla="*/ 1299612 h 1950658"/>
            <a:gd name="connsiteX0" fmla="*/ 0 w 4625720"/>
            <a:gd name="connsiteY0" fmla="*/ 0 h 1952209"/>
            <a:gd name="connsiteX1" fmla="*/ 607738 w 4625720"/>
            <a:gd name="connsiteY1" fmla="*/ 1225314 h 1952209"/>
            <a:gd name="connsiteX2" fmla="*/ 1146187 w 4625720"/>
            <a:gd name="connsiteY2" fmla="*/ 25950 h 1952209"/>
            <a:gd name="connsiteX3" fmla="*/ 1671996 w 4625720"/>
            <a:gd name="connsiteY3" fmla="*/ 530148 h 1952209"/>
            <a:gd name="connsiteX4" fmla="*/ 2336285 w 4625720"/>
            <a:gd name="connsiteY4" fmla="*/ 1887143 h 1952209"/>
            <a:gd name="connsiteX5" fmla="*/ 2932287 w 4625720"/>
            <a:gd name="connsiteY5" fmla="*/ 1950590 h 1952209"/>
            <a:gd name="connsiteX6" fmla="*/ 3449875 w 4625720"/>
            <a:gd name="connsiteY6" fmla="*/ 69867 h 1952209"/>
            <a:gd name="connsiteX7" fmla="*/ 4066398 w 4625720"/>
            <a:gd name="connsiteY7" fmla="*/ 585284 h 1952209"/>
            <a:gd name="connsiteX8" fmla="*/ 4051479 w 4625720"/>
            <a:gd name="connsiteY8" fmla="*/ 596183 h 1952209"/>
            <a:gd name="connsiteX9" fmla="*/ 4625720 w 4625720"/>
            <a:gd name="connsiteY9" fmla="*/ 1299612 h 1952209"/>
            <a:gd name="connsiteX0" fmla="*/ 0 w 4625720"/>
            <a:gd name="connsiteY0" fmla="*/ 0 h 1887222"/>
            <a:gd name="connsiteX1" fmla="*/ 607738 w 4625720"/>
            <a:gd name="connsiteY1" fmla="*/ 1225314 h 1887222"/>
            <a:gd name="connsiteX2" fmla="*/ 1146187 w 4625720"/>
            <a:gd name="connsiteY2" fmla="*/ 25950 h 1887222"/>
            <a:gd name="connsiteX3" fmla="*/ 1671996 w 4625720"/>
            <a:gd name="connsiteY3" fmla="*/ 530148 h 1887222"/>
            <a:gd name="connsiteX4" fmla="*/ 2336285 w 4625720"/>
            <a:gd name="connsiteY4" fmla="*/ 1887143 h 1887222"/>
            <a:gd name="connsiteX5" fmla="*/ 2810293 w 4625720"/>
            <a:gd name="connsiteY5" fmla="*/ 217770 h 1887222"/>
            <a:gd name="connsiteX6" fmla="*/ 3449875 w 4625720"/>
            <a:gd name="connsiteY6" fmla="*/ 69867 h 1887222"/>
            <a:gd name="connsiteX7" fmla="*/ 4066398 w 4625720"/>
            <a:gd name="connsiteY7" fmla="*/ 585284 h 1887222"/>
            <a:gd name="connsiteX8" fmla="*/ 4051479 w 4625720"/>
            <a:gd name="connsiteY8" fmla="*/ 596183 h 1887222"/>
            <a:gd name="connsiteX9" fmla="*/ 4625720 w 4625720"/>
            <a:gd name="connsiteY9" fmla="*/ 1299612 h 1887222"/>
            <a:gd name="connsiteX0" fmla="*/ 0 w 4625720"/>
            <a:gd name="connsiteY0" fmla="*/ 0 h 1887222"/>
            <a:gd name="connsiteX1" fmla="*/ 607738 w 4625720"/>
            <a:gd name="connsiteY1" fmla="*/ 1225314 h 1887222"/>
            <a:gd name="connsiteX2" fmla="*/ 1146187 w 4625720"/>
            <a:gd name="connsiteY2" fmla="*/ 25950 h 1887222"/>
            <a:gd name="connsiteX3" fmla="*/ 1671996 w 4625720"/>
            <a:gd name="connsiteY3" fmla="*/ 530148 h 1887222"/>
            <a:gd name="connsiteX4" fmla="*/ 2336285 w 4625720"/>
            <a:gd name="connsiteY4" fmla="*/ 1887143 h 1887222"/>
            <a:gd name="connsiteX5" fmla="*/ 2810293 w 4625720"/>
            <a:gd name="connsiteY5" fmla="*/ 217770 h 1887222"/>
            <a:gd name="connsiteX6" fmla="*/ 3425476 w 4625720"/>
            <a:gd name="connsiteY6" fmla="*/ 745790 h 1887222"/>
            <a:gd name="connsiteX7" fmla="*/ 4066398 w 4625720"/>
            <a:gd name="connsiteY7" fmla="*/ 585284 h 1887222"/>
            <a:gd name="connsiteX8" fmla="*/ 4051479 w 4625720"/>
            <a:gd name="connsiteY8" fmla="*/ 596183 h 1887222"/>
            <a:gd name="connsiteX9" fmla="*/ 4625720 w 4625720"/>
            <a:gd name="connsiteY9" fmla="*/ 1299612 h 1887222"/>
            <a:gd name="connsiteX0" fmla="*/ 0 w 4625720"/>
            <a:gd name="connsiteY0" fmla="*/ 0 h 1887222"/>
            <a:gd name="connsiteX1" fmla="*/ 607738 w 4625720"/>
            <a:gd name="connsiteY1" fmla="*/ 1225314 h 1887222"/>
            <a:gd name="connsiteX2" fmla="*/ 1146187 w 4625720"/>
            <a:gd name="connsiteY2" fmla="*/ 25950 h 1887222"/>
            <a:gd name="connsiteX3" fmla="*/ 1671996 w 4625720"/>
            <a:gd name="connsiteY3" fmla="*/ 530148 h 1887222"/>
            <a:gd name="connsiteX4" fmla="*/ 2336285 w 4625720"/>
            <a:gd name="connsiteY4" fmla="*/ 1887143 h 1887222"/>
            <a:gd name="connsiteX5" fmla="*/ 2810293 w 4625720"/>
            <a:gd name="connsiteY5" fmla="*/ 217770 h 1887222"/>
            <a:gd name="connsiteX6" fmla="*/ 3425476 w 4625720"/>
            <a:gd name="connsiteY6" fmla="*/ 745790 h 1887222"/>
            <a:gd name="connsiteX7" fmla="*/ 4066398 w 4625720"/>
            <a:gd name="connsiteY7" fmla="*/ 585284 h 1887222"/>
            <a:gd name="connsiteX8" fmla="*/ 3941684 w 4625720"/>
            <a:gd name="connsiteY8" fmla="*/ 1456448 h 1887222"/>
            <a:gd name="connsiteX9" fmla="*/ 4625720 w 4625720"/>
            <a:gd name="connsiteY9" fmla="*/ 1299612 h 1887222"/>
            <a:gd name="connsiteX0" fmla="*/ 0 w 4625720"/>
            <a:gd name="connsiteY0" fmla="*/ 0 h 1887222"/>
            <a:gd name="connsiteX1" fmla="*/ 607738 w 4625720"/>
            <a:gd name="connsiteY1" fmla="*/ 1225314 h 1887222"/>
            <a:gd name="connsiteX2" fmla="*/ 1146187 w 4625720"/>
            <a:gd name="connsiteY2" fmla="*/ 25950 h 1887222"/>
            <a:gd name="connsiteX3" fmla="*/ 1671996 w 4625720"/>
            <a:gd name="connsiteY3" fmla="*/ 530148 h 1887222"/>
            <a:gd name="connsiteX4" fmla="*/ 2336285 w 4625720"/>
            <a:gd name="connsiteY4" fmla="*/ 1887143 h 1887222"/>
            <a:gd name="connsiteX5" fmla="*/ 2810293 w 4625720"/>
            <a:gd name="connsiteY5" fmla="*/ 217770 h 1887222"/>
            <a:gd name="connsiteX6" fmla="*/ 3425476 w 4625720"/>
            <a:gd name="connsiteY6" fmla="*/ 745790 h 1887222"/>
            <a:gd name="connsiteX7" fmla="*/ 3944404 w 4625720"/>
            <a:gd name="connsiteY7" fmla="*/ 1433260 h 1887222"/>
            <a:gd name="connsiteX8" fmla="*/ 3941684 w 4625720"/>
            <a:gd name="connsiteY8" fmla="*/ 1456448 h 1887222"/>
            <a:gd name="connsiteX9" fmla="*/ 4625720 w 4625720"/>
            <a:gd name="connsiteY9" fmla="*/ 1299612 h 1887222"/>
            <a:gd name="connsiteX0" fmla="*/ 0 w 4528125"/>
            <a:gd name="connsiteY0" fmla="*/ 154478 h 2041700"/>
            <a:gd name="connsiteX1" fmla="*/ 607738 w 4528125"/>
            <a:gd name="connsiteY1" fmla="*/ 1379792 h 2041700"/>
            <a:gd name="connsiteX2" fmla="*/ 1146187 w 4528125"/>
            <a:gd name="connsiteY2" fmla="*/ 180428 h 2041700"/>
            <a:gd name="connsiteX3" fmla="*/ 1671996 w 4528125"/>
            <a:gd name="connsiteY3" fmla="*/ 684626 h 2041700"/>
            <a:gd name="connsiteX4" fmla="*/ 2336285 w 4528125"/>
            <a:gd name="connsiteY4" fmla="*/ 2041621 h 2041700"/>
            <a:gd name="connsiteX5" fmla="*/ 2810293 w 4528125"/>
            <a:gd name="connsiteY5" fmla="*/ 372248 h 2041700"/>
            <a:gd name="connsiteX6" fmla="*/ 3425476 w 4528125"/>
            <a:gd name="connsiteY6" fmla="*/ 900268 h 2041700"/>
            <a:gd name="connsiteX7" fmla="*/ 3944404 w 4528125"/>
            <a:gd name="connsiteY7" fmla="*/ 1587738 h 2041700"/>
            <a:gd name="connsiteX8" fmla="*/ 3941684 w 4528125"/>
            <a:gd name="connsiteY8" fmla="*/ 1610926 h 2041700"/>
            <a:gd name="connsiteX9" fmla="*/ 4528125 w 4528125"/>
            <a:gd name="connsiteY9" fmla="*/ 3928 h 2041700"/>
            <a:gd name="connsiteX0" fmla="*/ 0 w 4515926"/>
            <a:gd name="connsiteY0" fmla="*/ 117692 h 2004914"/>
            <a:gd name="connsiteX1" fmla="*/ 607738 w 4515926"/>
            <a:gd name="connsiteY1" fmla="*/ 1343006 h 2004914"/>
            <a:gd name="connsiteX2" fmla="*/ 1146187 w 4515926"/>
            <a:gd name="connsiteY2" fmla="*/ 143642 h 2004914"/>
            <a:gd name="connsiteX3" fmla="*/ 1671996 w 4515926"/>
            <a:gd name="connsiteY3" fmla="*/ 647840 h 2004914"/>
            <a:gd name="connsiteX4" fmla="*/ 2336285 w 4515926"/>
            <a:gd name="connsiteY4" fmla="*/ 2004835 h 2004914"/>
            <a:gd name="connsiteX5" fmla="*/ 2810293 w 4515926"/>
            <a:gd name="connsiteY5" fmla="*/ 335462 h 2004914"/>
            <a:gd name="connsiteX6" fmla="*/ 3425476 w 4515926"/>
            <a:gd name="connsiteY6" fmla="*/ 863482 h 2004914"/>
            <a:gd name="connsiteX7" fmla="*/ 3944404 w 4515926"/>
            <a:gd name="connsiteY7" fmla="*/ 1550952 h 2004914"/>
            <a:gd name="connsiteX8" fmla="*/ 3941684 w 4515926"/>
            <a:gd name="connsiteY8" fmla="*/ 1574140 h 2004914"/>
            <a:gd name="connsiteX9" fmla="*/ 4515926 w 4515926"/>
            <a:gd name="connsiteY9" fmla="*/ 4011 h 2004914"/>
            <a:gd name="connsiteX0" fmla="*/ 0 w 4528125"/>
            <a:gd name="connsiteY0" fmla="*/ 117692 h 2004914"/>
            <a:gd name="connsiteX1" fmla="*/ 607738 w 4528125"/>
            <a:gd name="connsiteY1" fmla="*/ 1343006 h 2004914"/>
            <a:gd name="connsiteX2" fmla="*/ 1146187 w 4528125"/>
            <a:gd name="connsiteY2" fmla="*/ 143642 h 2004914"/>
            <a:gd name="connsiteX3" fmla="*/ 1671996 w 4528125"/>
            <a:gd name="connsiteY3" fmla="*/ 647840 h 2004914"/>
            <a:gd name="connsiteX4" fmla="*/ 2336285 w 4528125"/>
            <a:gd name="connsiteY4" fmla="*/ 2004835 h 2004914"/>
            <a:gd name="connsiteX5" fmla="*/ 2810293 w 4528125"/>
            <a:gd name="connsiteY5" fmla="*/ 335462 h 2004914"/>
            <a:gd name="connsiteX6" fmla="*/ 3425476 w 4528125"/>
            <a:gd name="connsiteY6" fmla="*/ 863482 h 2004914"/>
            <a:gd name="connsiteX7" fmla="*/ 3944404 w 4528125"/>
            <a:gd name="connsiteY7" fmla="*/ 1550952 h 2004914"/>
            <a:gd name="connsiteX8" fmla="*/ 3941684 w 4528125"/>
            <a:gd name="connsiteY8" fmla="*/ 1574140 h 2004914"/>
            <a:gd name="connsiteX9" fmla="*/ 4528125 w 4528125"/>
            <a:gd name="connsiteY9" fmla="*/ 4011 h 2004914"/>
            <a:gd name="connsiteX0" fmla="*/ 0 w 4552524"/>
            <a:gd name="connsiteY0" fmla="*/ 1113141 h 2004914"/>
            <a:gd name="connsiteX1" fmla="*/ 632137 w 4552524"/>
            <a:gd name="connsiteY1" fmla="*/ 1343006 h 2004914"/>
            <a:gd name="connsiteX2" fmla="*/ 1170586 w 4552524"/>
            <a:gd name="connsiteY2" fmla="*/ 143642 h 2004914"/>
            <a:gd name="connsiteX3" fmla="*/ 1696395 w 4552524"/>
            <a:gd name="connsiteY3" fmla="*/ 647840 h 2004914"/>
            <a:gd name="connsiteX4" fmla="*/ 2360684 w 4552524"/>
            <a:gd name="connsiteY4" fmla="*/ 2004835 h 2004914"/>
            <a:gd name="connsiteX5" fmla="*/ 2834692 w 4552524"/>
            <a:gd name="connsiteY5" fmla="*/ 335462 h 2004914"/>
            <a:gd name="connsiteX6" fmla="*/ 3449875 w 4552524"/>
            <a:gd name="connsiteY6" fmla="*/ 863482 h 2004914"/>
            <a:gd name="connsiteX7" fmla="*/ 3968803 w 4552524"/>
            <a:gd name="connsiteY7" fmla="*/ 1550952 h 2004914"/>
            <a:gd name="connsiteX8" fmla="*/ 3966083 w 4552524"/>
            <a:gd name="connsiteY8" fmla="*/ 1574140 h 2004914"/>
            <a:gd name="connsiteX9" fmla="*/ 4552524 w 4552524"/>
            <a:gd name="connsiteY9" fmla="*/ 4011 h 2004914"/>
            <a:gd name="connsiteX0" fmla="*/ 0 w 4552524"/>
            <a:gd name="connsiteY0" fmla="*/ 1178312 h 2070085"/>
            <a:gd name="connsiteX1" fmla="*/ 583340 w 4552524"/>
            <a:gd name="connsiteY1" fmla="*/ 7172 h 2070085"/>
            <a:gd name="connsiteX2" fmla="*/ 1170586 w 4552524"/>
            <a:gd name="connsiteY2" fmla="*/ 208813 h 2070085"/>
            <a:gd name="connsiteX3" fmla="*/ 1696395 w 4552524"/>
            <a:gd name="connsiteY3" fmla="*/ 713011 h 2070085"/>
            <a:gd name="connsiteX4" fmla="*/ 2360684 w 4552524"/>
            <a:gd name="connsiteY4" fmla="*/ 2070006 h 2070085"/>
            <a:gd name="connsiteX5" fmla="*/ 2834692 w 4552524"/>
            <a:gd name="connsiteY5" fmla="*/ 400633 h 2070085"/>
            <a:gd name="connsiteX6" fmla="*/ 3449875 w 4552524"/>
            <a:gd name="connsiteY6" fmla="*/ 928653 h 2070085"/>
            <a:gd name="connsiteX7" fmla="*/ 3968803 w 4552524"/>
            <a:gd name="connsiteY7" fmla="*/ 1616123 h 2070085"/>
            <a:gd name="connsiteX8" fmla="*/ 3966083 w 4552524"/>
            <a:gd name="connsiteY8" fmla="*/ 1639311 h 2070085"/>
            <a:gd name="connsiteX9" fmla="*/ 4552524 w 4552524"/>
            <a:gd name="connsiteY9" fmla="*/ 69182 h 2070085"/>
            <a:gd name="connsiteX0" fmla="*/ 0 w 4552524"/>
            <a:gd name="connsiteY0" fmla="*/ 1172352 h 2064125"/>
            <a:gd name="connsiteX1" fmla="*/ 583340 w 4552524"/>
            <a:gd name="connsiteY1" fmla="*/ 1212 h 2064125"/>
            <a:gd name="connsiteX2" fmla="*/ 1170586 w 4552524"/>
            <a:gd name="connsiteY2" fmla="*/ 1530120 h 2064125"/>
            <a:gd name="connsiteX3" fmla="*/ 1696395 w 4552524"/>
            <a:gd name="connsiteY3" fmla="*/ 707051 h 2064125"/>
            <a:gd name="connsiteX4" fmla="*/ 2360684 w 4552524"/>
            <a:gd name="connsiteY4" fmla="*/ 2064046 h 2064125"/>
            <a:gd name="connsiteX5" fmla="*/ 2834692 w 4552524"/>
            <a:gd name="connsiteY5" fmla="*/ 394673 h 2064125"/>
            <a:gd name="connsiteX6" fmla="*/ 3449875 w 4552524"/>
            <a:gd name="connsiteY6" fmla="*/ 922693 h 2064125"/>
            <a:gd name="connsiteX7" fmla="*/ 3968803 w 4552524"/>
            <a:gd name="connsiteY7" fmla="*/ 1610163 h 2064125"/>
            <a:gd name="connsiteX8" fmla="*/ 3966083 w 4552524"/>
            <a:gd name="connsiteY8" fmla="*/ 1633351 h 2064125"/>
            <a:gd name="connsiteX9" fmla="*/ 4552524 w 4552524"/>
            <a:gd name="connsiteY9" fmla="*/ 63222 h 2064125"/>
            <a:gd name="connsiteX0" fmla="*/ 0 w 4552524"/>
            <a:gd name="connsiteY0" fmla="*/ 1172352 h 2064125"/>
            <a:gd name="connsiteX1" fmla="*/ 583340 w 4552524"/>
            <a:gd name="connsiteY1" fmla="*/ 1212 h 2064125"/>
            <a:gd name="connsiteX2" fmla="*/ 1170586 w 4552524"/>
            <a:gd name="connsiteY2" fmla="*/ 1530120 h 2064125"/>
            <a:gd name="connsiteX3" fmla="*/ 1708594 w 4552524"/>
            <a:gd name="connsiteY3" fmla="*/ 879103 h 2064125"/>
            <a:gd name="connsiteX4" fmla="*/ 2360684 w 4552524"/>
            <a:gd name="connsiteY4" fmla="*/ 2064046 h 2064125"/>
            <a:gd name="connsiteX5" fmla="*/ 2834692 w 4552524"/>
            <a:gd name="connsiteY5" fmla="*/ 394673 h 2064125"/>
            <a:gd name="connsiteX6" fmla="*/ 3449875 w 4552524"/>
            <a:gd name="connsiteY6" fmla="*/ 922693 h 2064125"/>
            <a:gd name="connsiteX7" fmla="*/ 3968803 w 4552524"/>
            <a:gd name="connsiteY7" fmla="*/ 1610163 h 2064125"/>
            <a:gd name="connsiteX8" fmla="*/ 3966083 w 4552524"/>
            <a:gd name="connsiteY8" fmla="*/ 1633351 h 2064125"/>
            <a:gd name="connsiteX9" fmla="*/ 4552524 w 4552524"/>
            <a:gd name="connsiteY9" fmla="*/ 63222 h 2064125"/>
            <a:gd name="connsiteX0" fmla="*/ 0 w 4552524"/>
            <a:gd name="connsiteY0" fmla="*/ 1172352 h 1633735"/>
            <a:gd name="connsiteX1" fmla="*/ 583340 w 4552524"/>
            <a:gd name="connsiteY1" fmla="*/ 1212 h 1633735"/>
            <a:gd name="connsiteX2" fmla="*/ 1170586 w 4552524"/>
            <a:gd name="connsiteY2" fmla="*/ 1530120 h 1633735"/>
            <a:gd name="connsiteX3" fmla="*/ 1708594 w 4552524"/>
            <a:gd name="connsiteY3" fmla="*/ 879103 h 1633735"/>
            <a:gd name="connsiteX4" fmla="*/ 2287487 w 4552524"/>
            <a:gd name="connsiteY4" fmla="*/ 454121 h 1633735"/>
            <a:gd name="connsiteX5" fmla="*/ 2834692 w 4552524"/>
            <a:gd name="connsiteY5" fmla="*/ 394673 h 1633735"/>
            <a:gd name="connsiteX6" fmla="*/ 3449875 w 4552524"/>
            <a:gd name="connsiteY6" fmla="*/ 922693 h 1633735"/>
            <a:gd name="connsiteX7" fmla="*/ 3968803 w 4552524"/>
            <a:gd name="connsiteY7" fmla="*/ 1610163 h 1633735"/>
            <a:gd name="connsiteX8" fmla="*/ 3966083 w 4552524"/>
            <a:gd name="connsiteY8" fmla="*/ 1633351 h 1633735"/>
            <a:gd name="connsiteX9" fmla="*/ 4552524 w 4552524"/>
            <a:gd name="connsiteY9" fmla="*/ 63222 h 1633735"/>
            <a:gd name="connsiteX0" fmla="*/ 0 w 4552524"/>
            <a:gd name="connsiteY0" fmla="*/ 1172352 h 2078406"/>
            <a:gd name="connsiteX1" fmla="*/ 583340 w 4552524"/>
            <a:gd name="connsiteY1" fmla="*/ 1212 h 2078406"/>
            <a:gd name="connsiteX2" fmla="*/ 1170586 w 4552524"/>
            <a:gd name="connsiteY2" fmla="*/ 1530120 h 2078406"/>
            <a:gd name="connsiteX3" fmla="*/ 1708594 w 4552524"/>
            <a:gd name="connsiteY3" fmla="*/ 879103 h 2078406"/>
            <a:gd name="connsiteX4" fmla="*/ 2287487 w 4552524"/>
            <a:gd name="connsiteY4" fmla="*/ 454121 h 2078406"/>
            <a:gd name="connsiteX5" fmla="*/ 2871290 w 4552524"/>
            <a:gd name="connsiteY5" fmla="*/ 2078336 h 2078406"/>
            <a:gd name="connsiteX6" fmla="*/ 3449875 w 4552524"/>
            <a:gd name="connsiteY6" fmla="*/ 922693 h 2078406"/>
            <a:gd name="connsiteX7" fmla="*/ 3968803 w 4552524"/>
            <a:gd name="connsiteY7" fmla="*/ 1610163 h 2078406"/>
            <a:gd name="connsiteX8" fmla="*/ 3966083 w 4552524"/>
            <a:gd name="connsiteY8" fmla="*/ 1633351 h 2078406"/>
            <a:gd name="connsiteX9" fmla="*/ 4552524 w 4552524"/>
            <a:gd name="connsiteY9" fmla="*/ 63222 h 2078406"/>
            <a:gd name="connsiteX0" fmla="*/ 0 w 4552524"/>
            <a:gd name="connsiteY0" fmla="*/ 1172352 h 2078406"/>
            <a:gd name="connsiteX1" fmla="*/ 583340 w 4552524"/>
            <a:gd name="connsiteY1" fmla="*/ 1212 h 2078406"/>
            <a:gd name="connsiteX2" fmla="*/ 1170586 w 4552524"/>
            <a:gd name="connsiteY2" fmla="*/ 1530120 h 2078406"/>
            <a:gd name="connsiteX3" fmla="*/ 1708594 w 4552524"/>
            <a:gd name="connsiteY3" fmla="*/ 879103 h 2078406"/>
            <a:gd name="connsiteX4" fmla="*/ 2287487 w 4552524"/>
            <a:gd name="connsiteY4" fmla="*/ 454121 h 2078406"/>
            <a:gd name="connsiteX5" fmla="*/ 2871290 w 4552524"/>
            <a:gd name="connsiteY5" fmla="*/ 2078336 h 2078406"/>
            <a:gd name="connsiteX6" fmla="*/ 3449876 w 4552524"/>
            <a:gd name="connsiteY6" fmla="*/ 701481 h 2078406"/>
            <a:gd name="connsiteX7" fmla="*/ 3968803 w 4552524"/>
            <a:gd name="connsiteY7" fmla="*/ 1610163 h 2078406"/>
            <a:gd name="connsiteX8" fmla="*/ 3966083 w 4552524"/>
            <a:gd name="connsiteY8" fmla="*/ 1633351 h 2078406"/>
            <a:gd name="connsiteX9" fmla="*/ 4552524 w 4552524"/>
            <a:gd name="connsiteY9" fmla="*/ 63222 h 2078406"/>
            <a:gd name="connsiteX0" fmla="*/ 0 w 4552524"/>
            <a:gd name="connsiteY0" fmla="*/ 1172352 h 2078406"/>
            <a:gd name="connsiteX1" fmla="*/ 583340 w 4552524"/>
            <a:gd name="connsiteY1" fmla="*/ 1212 h 2078406"/>
            <a:gd name="connsiteX2" fmla="*/ 1170586 w 4552524"/>
            <a:gd name="connsiteY2" fmla="*/ 1530120 h 2078406"/>
            <a:gd name="connsiteX3" fmla="*/ 1708594 w 4552524"/>
            <a:gd name="connsiteY3" fmla="*/ 879103 h 2078406"/>
            <a:gd name="connsiteX4" fmla="*/ 2287487 w 4552524"/>
            <a:gd name="connsiteY4" fmla="*/ 454121 h 2078406"/>
            <a:gd name="connsiteX5" fmla="*/ 2871290 w 4552524"/>
            <a:gd name="connsiteY5" fmla="*/ 2078336 h 2078406"/>
            <a:gd name="connsiteX6" fmla="*/ 3449876 w 4552524"/>
            <a:gd name="connsiteY6" fmla="*/ 701481 h 2078406"/>
            <a:gd name="connsiteX7" fmla="*/ 3968803 w 4552524"/>
            <a:gd name="connsiteY7" fmla="*/ 1610163 h 2078406"/>
            <a:gd name="connsiteX8" fmla="*/ 3978283 w 4552524"/>
            <a:gd name="connsiteY8" fmla="*/ 1424430 h 2078406"/>
            <a:gd name="connsiteX9" fmla="*/ 4552524 w 4552524"/>
            <a:gd name="connsiteY9" fmla="*/ 63222 h 2078406"/>
            <a:gd name="connsiteX0" fmla="*/ 0 w 4552524"/>
            <a:gd name="connsiteY0" fmla="*/ 1172352 h 2078406"/>
            <a:gd name="connsiteX1" fmla="*/ 583340 w 4552524"/>
            <a:gd name="connsiteY1" fmla="*/ 1212 h 2078406"/>
            <a:gd name="connsiteX2" fmla="*/ 1170586 w 4552524"/>
            <a:gd name="connsiteY2" fmla="*/ 1530120 h 2078406"/>
            <a:gd name="connsiteX3" fmla="*/ 1708594 w 4552524"/>
            <a:gd name="connsiteY3" fmla="*/ 879103 h 2078406"/>
            <a:gd name="connsiteX4" fmla="*/ 2287487 w 4552524"/>
            <a:gd name="connsiteY4" fmla="*/ 454121 h 2078406"/>
            <a:gd name="connsiteX5" fmla="*/ 2871290 w 4552524"/>
            <a:gd name="connsiteY5" fmla="*/ 2078336 h 2078406"/>
            <a:gd name="connsiteX6" fmla="*/ 3449876 w 4552524"/>
            <a:gd name="connsiteY6" fmla="*/ 701481 h 2078406"/>
            <a:gd name="connsiteX7" fmla="*/ 3956604 w 4552524"/>
            <a:gd name="connsiteY7" fmla="*/ 1438111 h 2078406"/>
            <a:gd name="connsiteX8" fmla="*/ 3978283 w 4552524"/>
            <a:gd name="connsiteY8" fmla="*/ 1424430 h 2078406"/>
            <a:gd name="connsiteX9" fmla="*/ 4552524 w 4552524"/>
            <a:gd name="connsiteY9" fmla="*/ 63222 h 2078406"/>
            <a:gd name="connsiteX0" fmla="*/ 0 w 4564723"/>
            <a:gd name="connsiteY0" fmla="*/ 1172352 h 2078406"/>
            <a:gd name="connsiteX1" fmla="*/ 583340 w 4564723"/>
            <a:gd name="connsiteY1" fmla="*/ 1212 h 2078406"/>
            <a:gd name="connsiteX2" fmla="*/ 1170586 w 4564723"/>
            <a:gd name="connsiteY2" fmla="*/ 1530120 h 2078406"/>
            <a:gd name="connsiteX3" fmla="*/ 1708594 w 4564723"/>
            <a:gd name="connsiteY3" fmla="*/ 879103 h 2078406"/>
            <a:gd name="connsiteX4" fmla="*/ 2287487 w 4564723"/>
            <a:gd name="connsiteY4" fmla="*/ 454121 h 2078406"/>
            <a:gd name="connsiteX5" fmla="*/ 2871290 w 4564723"/>
            <a:gd name="connsiteY5" fmla="*/ 2078336 h 2078406"/>
            <a:gd name="connsiteX6" fmla="*/ 3449876 w 4564723"/>
            <a:gd name="connsiteY6" fmla="*/ 701481 h 2078406"/>
            <a:gd name="connsiteX7" fmla="*/ 3956604 w 4564723"/>
            <a:gd name="connsiteY7" fmla="*/ 1438111 h 2078406"/>
            <a:gd name="connsiteX8" fmla="*/ 3978283 w 4564723"/>
            <a:gd name="connsiteY8" fmla="*/ 1424430 h 2078406"/>
            <a:gd name="connsiteX9" fmla="*/ 4564723 w 4564723"/>
            <a:gd name="connsiteY9" fmla="*/ 259854 h 2078406"/>
            <a:gd name="connsiteX0" fmla="*/ 0 w 4552523"/>
            <a:gd name="connsiteY0" fmla="*/ 2315276 h 2315278"/>
            <a:gd name="connsiteX1" fmla="*/ 571140 w 4552523"/>
            <a:gd name="connsiteY1" fmla="*/ 1212 h 2315278"/>
            <a:gd name="connsiteX2" fmla="*/ 1158386 w 4552523"/>
            <a:gd name="connsiteY2" fmla="*/ 1530120 h 2315278"/>
            <a:gd name="connsiteX3" fmla="*/ 1696394 w 4552523"/>
            <a:gd name="connsiteY3" fmla="*/ 879103 h 2315278"/>
            <a:gd name="connsiteX4" fmla="*/ 2275287 w 4552523"/>
            <a:gd name="connsiteY4" fmla="*/ 454121 h 2315278"/>
            <a:gd name="connsiteX5" fmla="*/ 2859090 w 4552523"/>
            <a:gd name="connsiteY5" fmla="*/ 2078336 h 2315278"/>
            <a:gd name="connsiteX6" fmla="*/ 3437676 w 4552523"/>
            <a:gd name="connsiteY6" fmla="*/ 701481 h 2315278"/>
            <a:gd name="connsiteX7" fmla="*/ 3944404 w 4552523"/>
            <a:gd name="connsiteY7" fmla="*/ 1438111 h 2315278"/>
            <a:gd name="connsiteX8" fmla="*/ 3966083 w 4552523"/>
            <a:gd name="connsiteY8" fmla="*/ 1424430 h 2315278"/>
            <a:gd name="connsiteX9" fmla="*/ 4552523 w 4552523"/>
            <a:gd name="connsiteY9" fmla="*/ 259854 h 2315278"/>
            <a:gd name="connsiteX0" fmla="*/ 0 w 4552523"/>
            <a:gd name="connsiteY0" fmla="*/ 2060632 h 2060635"/>
            <a:gd name="connsiteX1" fmla="*/ 583340 w 4552523"/>
            <a:gd name="connsiteY1" fmla="*/ 201280 h 2060635"/>
            <a:gd name="connsiteX2" fmla="*/ 1158386 w 4552523"/>
            <a:gd name="connsiteY2" fmla="*/ 1275476 h 2060635"/>
            <a:gd name="connsiteX3" fmla="*/ 1696394 w 4552523"/>
            <a:gd name="connsiteY3" fmla="*/ 624459 h 2060635"/>
            <a:gd name="connsiteX4" fmla="*/ 2275287 w 4552523"/>
            <a:gd name="connsiteY4" fmla="*/ 199477 h 2060635"/>
            <a:gd name="connsiteX5" fmla="*/ 2859090 w 4552523"/>
            <a:gd name="connsiteY5" fmla="*/ 1823692 h 2060635"/>
            <a:gd name="connsiteX6" fmla="*/ 3437676 w 4552523"/>
            <a:gd name="connsiteY6" fmla="*/ 446837 h 2060635"/>
            <a:gd name="connsiteX7" fmla="*/ 3944404 w 4552523"/>
            <a:gd name="connsiteY7" fmla="*/ 1183467 h 2060635"/>
            <a:gd name="connsiteX8" fmla="*/ 3966083 w 4552523"/>
            <a:gd name="connsiteY8" fmla="*/ 1169786 h 2060635"/>
            <a:gd name="connsiteX9" fmla="*/ 4552523 w 4552523"/>
            <a:gd name="connsiteY9" fmla="*/ 5210 h 2060635"/>
            <a:gd name="connsiteX0" fmla="*/ 0 w 4552523"/>
            <a:gd name="connsiteY0" fmla="*/ 2060632 h 2060635"/>
            <a:gd name="connsiteX1" fmla="*/ 583340 w 4552523"/>
            <a:gd name="connsiteY1" fmla="*/ 201280 h 2060635"/>
            <a:gd name="connsiteX2" fmla="*/ 1194985 w 4552523"/>
            <a:gd name="connsiteY2" fmla="*/ 648711 h 2060635"/>
            <a:gd name="connsiteX3" fmla="*/ 1696394 w 4552523"/>
            <a:gd name="connsiteY3" fmla="*/ 624459 h 2060635"/>
            <a:gd name="connsiteX4" fmla="*/ 2275287 w 4552523"/>
            <a:gd name="connsiteY4" fmla="*/ 199477 h 2060635"/>
            <a:gd name="connsiteX5" fmla="*/ 2859090 w 4552523"/>
            <a:gd name="connsiteY5" fmla="*/ 1823692 h 2060635"/>
            <a:gd name="connsiteX6" fmla="*/ 3437676 w 4552523"/>
            <a:gd name="connsiteY6" fmla="*/ 446837 h 2060635"/>
            <a:gd name="connsiteX7" fmla="*/ 3944404 w 4552523"/>
            <a:gd name="connsiteY7" fmla="*/ 1183467 h 2060635"/>
            <a:gd name="connsiteX8" fmla="*/ 3966083 w 4552523"/>
            <a:gd name="connsiteY8" fmla="*/ 1169786 h 2060635"/>
            <a:gd name="connsiteX9" fmla="*/ 4552523 w 4552523"/>
            <a:gd name="connsiteY9" fmla="*/ 5210 h 2060635"/>
            <a:gd name="connsiteX0" fmla="*/ 0 w 4552523"/>
            <a:gd name="connsiteY0" fmla="*/ 2060632 h 2060635"/>
            <a:gd name="connsiteX1" fmla="*/ 583340 w 4552523"/>
            <a:gd name="connsiteY1" fmla="*/ 201280 h 2060635"/>
            <a:gd name="connsiteX2" fmla="*/ 1194985 w 4552523"/>
            <a:gd name="connsiteY2" fmla="*/ 648711 h 2060635"/>
            <a:gd name="connsiteX3" fmla="*/ 1757392 w 4552523"/>
            <a:gd name="connsiteY3" fmla="*/ 1349539 h 2060635"/>
            <a:gd name="connsiteX4" fmla="*/ 2275287 w 4552523"/>
            <a:gd name="connsiteY4" fmla="*/ 199477 h 2060635"/>
            <a:gd name="connsiteX5" fmla="*/ 2859090 w 4552523"/>
            <a:gd name="connsiteY5" fmla="*/ 1823692 h 2060635"/>
            <a:gd name="connsiteX6" fmla="*/ 3437676 w 4552523"/>
            <a:gd name="connsiteY6" fmla="*/ 446837 h 2060635"/>
            <a:gd name="connsiteX7" fmla="*/ 3944404 w 4552523"/>
            <a:gd name="connsiteY7" fmla="*/ 1183467 h 2060635"/>
            <a:gd name="connsiteX8" fmla="*/ 3966083 w 4552523"/>
            <a:gd name="connsiteY8" fmla="*/ 1169786 h 2060635"/>
            <a:gd name="connsiteX9" fmla="*/ 4552523 w 4552523"/>
            <a:gd name="connsiteY9" fmla="*/ 5210 h 2060635"/>
            <a:gd name="connsiteX0" fmla="*/ 0 w 4552523"/>
            <a:gd name="connsiteY0" fmla="*/ 2328157 h 2328160"/>
            <a:gd name="connsiteX1" fmla="*/ 583340 w 4552523"/>
            <a:gd name="connsiteY1" fmla="*/ 468805 h 2328160"/>
            <a:gd name="connsiteX2" fmla="*/ 1194985 w 4552523"/>
            <a:gd name="connsiteY2" fmla="*/ 916236 h 2328160"/>
            <a:gd name="connsiteX3" fmla="*/ 1757392 w 4552523"/>
            <a:gd name="connsiteY3" fmla="*/ 1617064 h 2328160"/>
            <a:gd name="connsiteX4" fmla="*/ 2238689 w 4552523"/>
            <a:gd name="connsiteY4" fmla="*/ 0 h 2328160"/>
            <a:gd name="connsiteX5" fmla="*/ 2859090 w 4552523"/>
            <a:gd name="connsiteY5" fmla="*/ 2091217 h 2328160"/>
            <a:gd name="connsiteX6" fmla="*/ 3437676 w 4552523"/>
            <a:gd name="connsiteY6" fmla="*/ 714362 h 2328160"/>
            <a:gd name="connsiteX7" fmla="*/ 3944404 w 4552523"/>
            <a:gd name="connsiteY7" fmla="*/ 1450992 h 2328160"/>
            <a:gd name="connsiteX8" fmla="*/ 3966083 w 4552523"/>
            <a:gd name="connsiteY8" fmla="*/ 1437311 h 2328160"/>
            <a:gd name="connsiteX9" fmla="*/ 4552523 w 4552523"/>
            <a:gd name="connsiteY9" fmla="*/ 272735 h 2328160"/>
            <a:gd name="connsiteX0" fmla="*/ 0 w 4552523"/>
            <a:gd name="connsiteY0" fmla="*/ 2328157 h 2328160"/>
            <a:gd name="connsiteX1" fmla="*/ 583340 w 4552523"/>
            <a:gd name="connsiteY1" fmla="*/ 468805 h 2328160"/>
            <a:gd name="connsiteX2" fmla="*/ 1194985 w 4552523"/>
            <a:gd name="connsiteY2" fmla="*/ 916236 h 2328160"/>
            <a:gd name="connsiteX3" fmla="*/ 1757392 w 4552523"/>
            <a:gd name="connsiteY3" fmla="*/ 1617064 h 2328160"/>
            <a:gd name="connsiteX4" fmla="*/ 2238689 w 4552523"/>
            <a:gd name="connsiteY4" fmla="*/ 0 h 2328160"/>
            <a:gd name="connsiteX5" fmla="*/ 2846891 w 4552523"/>
            <a:gd name="connsiteY5" fmla="*/ 1157214 h 2328160"/>
            <a:gd name="connsiteX6" fmla="*/ 3437676 w 4552523"/>
            <a:gd name="connsiteY6" fmla="*/ 714362 h 2328160"/>
            <a:gd name="connsiteX7" fmla="*/ 3944404 w 4552523"/>
            <a:gd name="connsiteY7" fmla="*/ 1450992 h 2328160"/>
            <a:gd name="connsiteX8" fmla="*/ 3966083 w 4552523"/>
            <a:gd name="connsiteY8" fmla="*/ 1437311 h 2328160"/>
            <a:gd name="connsiteX9" fmla="*/ 4552523 w 4552523"/>
            <a:gd name="connsiteY9" fmla="*/ 272735 h 2328160"/>
            <a:gd name="connsiteX0" fmla="*/ 0 w 4552523"/>
            <a:gd name="connsiteY0" fmla="*/ 2328157 h 2328160"/>
            <a:gd name="connsiteX1" fmla="*/ 583340 w 4552523"/>
            <a:gd name="connsiteY1" fmla="*/ 468805 h 2328160"/>
            <a:gd name="connsiteX2" fmla="*/ 1194985 w 4552523"/>
            <a:gd name="connsiteY2" fmla="*/ 916236 h 2328160"/>
            <a:gd name="connsiteX3" fmla="*/ 1757392 w 4552523"/>
            <a:gd name="connsiteY3" fmla="*/ 1617064 h 2328160"/>
            <a:gd name="connsiteX4" fmla="*/ 2238689 w 4552523"/>
            <a:gd name="connsiteY4" fmla="*/ 0 h 2328160"/>
            <a:gd name="connsiteX5" fmla="*/ 2846891 w 4552523"/>
            <a:gd name="connsiteY5" fmla="*/ 1157214 h 2328160"/>
            <a:gd name="connsiteX6" fmla="*/ 3364479 w 4552523"/>
            <a:gd name="connsiteY6" fmla="*/ 235071 h 2328160"/>
            <a:gd name="connsiteX7" fmla="*/ 3944404 w 4552523"/>
            <a:gd name="connsiteY7" fmla="*/ 1450992 h 2328160"/>
            <a:gd name="connsiteX8" fmla="*/ 3966083 w 4552523"/>
            <a:gd name="connsiteY8" fmla="*/ 1437311 h 2328160"/>
            <a:gd name="connsiteX9" fmla="*/ 4552523 w 4552523"/>
            <a:gd name="connsiteY9" fmla="*/ 272735 h 2328160"/>
            <a:gd name="connsiteX0" fmla="*/ 0 w 4540324"/>
            <a:gd name="connsiteY0" fmla="*/ 2328157 h 2328160"/>
            <a:gd name="connsiteX1" fmla="*/ 583340 w 4540324"/>
            <a:gd name="connsiteY1" fmla="*/ 468805 h 2328160"/>
            <a:gd name="connsiteX2" fmla="*/ 1194985 w 4540324"/>
            <a:gd name="connsiteY2" fmla="*/ 916236 h 2328160"/>
            <a:gd name="connsiteX3" fmla="*/ 1757392 w 4540324"/>
            <a:gd name="connsiteY3" fmla="*/ 1617064 h 2328160"/>
            <a:gd name="connsiteX4" fmla="*/ 2238689 w 4540324"/>
            <a:gd name="connsiteY4" fmla="*/ 0 h 2328160"/>
            <a:gd name="connsiteX5" fmla="*/ 2846891 w 4540324"/>
            <a:gd name="connsiteY5" fmla="*/ 1157214 h 2328160"/>
            <a:gd name="connsiteX6" fmla="*/ 3364479 w 4540324"/>
            <a:gd name="connsiteY6" fmla="*/ 235071 h 2328160"/>
            <a:gd name="connsiteX7" fmla="*/ 3944404 w 4540324"/>
            <a:gd name="connsiteY7" fmla="*/ 1450992 h 2328160"/>
            <a:gd name="connsiteX8" fmla="*/ 3966083 w 4540324"/>
            <a:gd name="connsiteY8" fmla="*/ 1437311 h 2328160"/>
            <a:gd name="connsiteX9" fmla="*/ 4540324 w 4540324"/>
            <a:gd name="connsiteY9" fmla="*/ 788894 h 2328160"/>
            <a:gd name="connsiteX0" fmla="*/ 0 w 4519148"/>
            <a:gd name="connsiteY0" fmla="*/ 216061 h 1617064"/>
            <a:gd name="connsiteX1" fmla="*/ 562164 w 4519148"/>
            <a:gd name="connsiteY1" fmla="*/ 468805 h 1617064"/>
            <a:gd name="connsiteX2" fmla="*/ 1173809 w 4519148"/>
            <a:gd name="connsiteY2" fmla="*/ 916236 h 1617064"/>
            <a:gd name="connsiteX3" fmla="*/ 1736216 w 4519148"/>
            <a:gd name="connsiteY3" fmla="*/ 1617064 h 1617064"/>
            <a:gd name="connsiteX4" fmla="*/ 2217513 w 4519148"/>
            <a:gd name="connsiteY4" fmla="*/ 0 h 1617064"/>
            <a:gd name="connsiteX5" fmla="*/ 2825715 w 4519148"/>
            <a:gd name="connsiteY5" fmla="*/ 1157214 h 1617064"/>
            <a:gd name="connsiteX6" fmla="*/ 3343303 w 4519148"/>
            <a:gd name="connsiteY6" fmla="*/ 235071 h 1617064"/>
            <a:gd name="connsiteX7" fmla="*/ 3923228 w 4519148"/>
            <a:gd name="connsiteY7" fmla="*/ 1450992 h 1617064"/>
            <a:gd name="connsiteX8" fmla="*/ 3944907 w 4519148"/>
            <a:gd name="connsiteY8" fmla="*/ 1437311 h 1617064"/>
            <a:gd name="connsiteX9" fmla="*/ 4519148 w 4519148"/>
            <a:gd name="connsiteY9" fmla="*/ 788894 h 1617064"/>
            <a:gd name="connsiteX0" fmla="*/ 0 w 4519148"/>
            <a:gd name="connsiteY0" fmla="*/ 216061 h 1617064"/>
            <a:gd name="connsiteX1" fmla="*/ 583341 w 4519148"/>
            <a:gd name="connsiteY1" fmla="*/ 1413411 h 1617064"/>
            <a:gd name="connsiteX2" fmla="*/ 1173809 w 4519148"/>
            <a:gd name="connsiteY2" fmla="*/ 916236 h 1617064"/>
            <a:gd name="connsiteX3" fmla="*/ 1736216 w 4519148"/>
            <a:gd name="connsiteY3" fmla="*/ 1617064 h 1617064"/>
            <a:gd name="connsiteX4" fmla="*/ 2217513 w 4519148"/>
            <a:gd name="connsiteY4" fmla="*/ 0 h 1617064"/>
            <a:gd name="connsiteX5" fmla="*/ 2825715 w 4519148"/>
            <a:gd name="connsiteY5" fmla="*/ 1157214 h 1617064"/>
            <a:gd name="connsiteX6" fmla="*/ 3343303 w 4519148"/>
            <a:gd name="connsiteY6" fmla="*/ 235071 h 1617064"/>
            <a:gd name="connsiteX7" fmla="*/ 3923228 w 4519148"/>
            <a:gd name="connsiteY7" fmla="*/ 1450992 h 1617064"/>
            <a:gd name="connsiteX8" fmla="*/ 3944907 w 4519148"/>
            <a:gd name="connsiteY8" fmla="*/ 1437311 h 1617064"/>
            <a:gd name="connsiteX9" fmla="*/ 4519148 w 4519148"/>
            <a:gd name="connsiteY9" fmla="*/ 788894 h 1617064"/>
            <a:gd name="connsiteX0" fmla="*/ 0 w 4519148"/>
            <a:gd name="connsiteY0" fmla="*/ 216061 h 1617064"/>
            <a:gd name="connsiteX1" fmla="*/ 583341 w 4519148"/>
            <a:gd name="connsiteY1" fmla="*/ 1413411 h 1617064"/>
            <a:gd name="connsiteX2" fmla="*/ 1131457 w 4519148"/>
            <a:gd name="connsiteY2" fmla="*/ 650897 h 1617064"/>
            <a:gd name="connsiteX3" fmla="*/ 1736216 w 4519148"/>
            <a:gd name="connsiteY3" fmla="*/ 1617064 h 1617064"/>
            <a:gd name="connsiteX4" fmla="*/ 2217513 w 4519148"/>
            <a:gd name="connsiteY4" fmla="*/ 0 h 1617064"/>
            <a:gd name="connsiteX5" fmla="*/ 2825715 w 4519148"/>
            <a:gd name="connsiteY5" fmla="*/ 1157214 h 1617064"/>
            <a:gd name="connsiteX6" fmla="*/ 3343303 w 4519148"/>
            <a:gd name="connsiteY6" fmla="*/ 235071 h 1617064"/>
            <a:gd name="connsiteX7" fmla="*/ 3923228 w 4519148"/>
            <a:gd name="connsiteY7" fmla="*/ 1450992 h 1617064"/>
            <a:gd name="connsiteX8" fmla="*/ 3944907 w 4519148"/>
            <a:gd name="connsiteY8" fmla="*/ 1437311 h 1617064"/>
            <a:gd name="connsiteX9" fmla="*/ 4519148 w 4519148"/>
            <a:gd name="connsiteY9" fmla="*/ 788894 h 1617064"/>
            <a:gd name="connsiteX0" fmla="*/ 0 w 4519148"/>
            <a:gd name="connsiteY0" fmla="*/ 216061 h 2168968"/>
            <a:gd name="connsiteX1" fmla="*/ 583341 w 4519148"/>
            <a:gd name="connsiteY1" fmla="*/ 1413411 h 2168968"/>
            <a:gd name="connsiteX2" fmla="*/ 1131457 w 4519148"/>
            <a:gd name="connsiteY2" fmla="*/ 650897 h 2168968"/>
            <a:gd name="connsiteX3" fmla="*/ 1736216 w 4519148"/>
            <a:gd name="connsiteY3" fmla="*/ 2168968 h 2168968"/>
            <a:gd name="connsiteX4" fmla="*/ 2217513 w 4519148"/>
            <a:gd name="connsiteY4" fmla="*/ 0 h 2168968"/>
            <a:gd name="connsiteX5" fmla="*/ 2825715 w 4519148"/>
            <a:gd name="connsiteY5" fmla="*/ 1157214 h 2168968"/>
            <a:gd name="connsiteX6" fmla="*/ 3343303 w 4519148"/>
            <a:gd name="connsiteY6" fmla="*/ 235071 h 2168968"/>
            <a:gd name="connsiteX7" fmla="*/ 3923228 w 4519148"/>
            <a:gd name="connsiteY7" fmla="*/ 1450992 h 2168968"/>
            <a:gd name="connsiteX8" fmla="*/ 3944907 w 4519148"/>
            <a:gd name="connsiteY8" fmla="*/ 1437311 h 2168968"/>
            <a:gd name="connsiteX9" fmla="*/ 4519148 w 4519148"/>
            <a:gd name="connsiteY9" fmla="*/ 788894 h 2168968"/>
            <a:gd name="connsiteX0" fmla="*/ 0 w 4519148"/>
            <a:gd name="connsiteY0" fmla="*/ 0 h 1952907"/>
            <a:gd name="connsiteX1" fmla="*/ 583341 w 4519148"/>
            <a:gd name="connsiteY1" fmla="*/ 1197350 h 1952907"/>
            <a:gd name="connsiteX2" fmla="*/ 1131457 w 4519148"/>
            <a:gd name="connsiteY2" fmla="*/ 434836 h 1952907"/>
            <a:gd name="connsiteX3" fmla="*/ 1736216 w 4519148"/>
            <a:gd name="connsiteY3" fmla="*/ 1952907 h 1952907"/>
            <a:gd name="connsiteX4" fmla="*/ 2259866 w 4519148"/>
            <a:gd name="connsiteY4" fmla="*/ 250936 h 1952907"/>
            <a:gd name="connsiteX5" fmla="*/ 2825715 w 4519148"/>
            <a:gd name="connsiteY5" fmla="*/ 941153 h 1952907"/>
            <a:gd name="connsiteX6" fmla="*/ 3343303 w 4519148"/>
            <a:gd name="connsiteY6" fmla="*/ 19010 h 1952907"/>
            <a:gd name="connsiteX7" fmla="*/ 3923228 w 4519148"/>
            <a:gd name="connsiteY7" fmla="*/ 1234931 h 1952907"/>
            <a:gd name="connsiteX8" fmla="*/ 3944907 w 4519148"/>
            <a:gd name="connsiteY8" fmla="*/ 1221250 h 1952907"/>
            <a:gd name="connsiteX9" fmla="*/ 4519148 w 4519148"/>
            <a:gd name="connsiteY9" fmla="*/ 572833 h 1952907"/>
            <a:gd name="connsiteX0" fmla="*/ 0 w 4519148"/>
            <a:gd name="connsiteY0" fmla="*/ 0 h 1952907"/>
            <a:gd name="connsiteX1" fmla="*/ 583341 w 4519148"/>
            <a:gd name="connsiteY1" fmla="*/ 1197350 h 1952907"/>
            <a:gd name="connsiteX2" fmla="*/ 1131457 w 4519148"/>
            <a:gd name="connsiteY2" fmla="*/ 434836 h 1952907"/>
            <a:gd name="connsiteX3" fmla="*/ 1736216 w 4519148"/>
            <a:gd name="connsiteY3" fmla="*/ 1952907 h 1952907"/>
            <a:gd name="connsiteX4" fmla="*/ 2259866 w 4519148"/>
            <a:gd name="connsiteY4" fmla="*/ 250936 h 1952907"/>
            <a:gd name="connsiteX5" fmla="*/ 2825715 w 4519148"/>
            <a:gd name="connsiteY5" fmla="*/ 675815 h 1952907"/>
            <a:gd name="connsiteX6" fmla="*/ 3343303 w 4519148"/>
            <a:gd name="connsiteY6" fmla="*/ 19010 h 1952907"/>
            <a:gd name="connsiteX7" fmla="*/ 3923228 w 4519148"/>
            <a:gd name="connsiteY7" fmla="*/ 1234931 h 1952907"/>
            <a:gd name="connsiteX8" fmla="*/ 3944907 w 4519148"/>
            <a:gd name="connsiteY8" fmla="*/ 1221250 h 1952907"/>
            <a:gd name="connsiteX9" fmla="*/ 4519148 w 4519148"/>
            <a:gd name="connsiteY9" fmla="*/ 572833 h 1952907"/>
            <a:gd name="connsiteX0" fmla="*/ 0 w 4519148"/>
            <a:gd name="connsiteY0" fmla="*/ 0 h 1952907"/>
            <a:gd name="connsiteX1" fmla="*/ 583341 w 4519148"/>
            <a:gd name="connsiteY1" fmla="*/ 1197350 h 1952907"/>
            <a:gd name="connsiteX2" fmla="*/ 1131457 w 4519148"/>
            <a:gd name="connsiteY2" fmla="*/ 434836 h 1952907"/>
            <a:gd name="connsiteX3" fmla="*/ 1736216 w 4519148"/>
            <a:gd name="connsiteY3" fmla="*/ 1952907 h 1952907"/>
            <a:gd name="connsiteX4" fmla="*/ 2259866 w 4519148"/>
            <a:gd name="connsiteY4" fmla="*/ 250936 h 1952907"/>
            <a:gd name="connsiteX5" fmla="*/ 2825715 w 4519148"/>
            <a:gd name="connsiteY5" fmla="*/ 675815 h 1952907"/>
            <a:gd name="connsiteX6" fmla="*/ 3406831 w 4519148"/>
            <a:gd name="connsiteY6" fmla="*/ 1409386 h 1952907"/>
            <a:gd name="connsiteX7" fmla="*/ 3923228 w 4519148"/>
            <a:gd name="connsiteY7" fmla="*/ 1234931 h 1952907"/>
            <a:gd name="connsiteX8" fmla="*/ 3944907 w 4519148"/>
            <a:gd name="connsiteY8" fmla="*/ 1221250 h 1952907"/>
            <a:gd name="connsiteX9" fmla="*/ 4519148 w 4519148"/>
            <a:gd name="connsiteY9" fmla="*/ 572833 h 1952907"/>
            <a:gd name="connsiteX0" fmla="*/ 0 w 4519148"/>
            <a:gd name="connsiteY0" fmla="*/ 201030 h 2153937"/>
            <a:gd name="connsiteX1" fmla="*/ 583341 w 4519148"/>
            <a:gd name="connsiteY1" fmla="*/ 1398380 h 2153937"/>
            <a:gd name="connsiteX2" fmla="*/ 1131457 w 4519148"/>
            <a:gd name="connsiteY2" fmla="*/ 635866 h 2153937"/>
            <a:gd name="connsiteX3" fmla="*/ 1736216 w 4519148"/>
            <a:gd name="connsiteY3" fmla="*/ 2153937 h 2153937"/>
            <a:gd name="connsiteX4" fmla="*/ 2259866 w 4519148"/>
            <a:gd name="connsiteY4" fmla="*/ 451966 h 2153937"/>
            <a:gd name="connsiteX5" fmla="*/ 2825715 w 4519148"/>
            <a:gd name="connsiteY5" fmla="*/ 876845 h 2153937"/>
            <a:gd name="connsiteX6" fmla="*/ 3406831 w 4519148"/>
            <a:gd name="connsiteY6" fmla="*/ 1610416 h 2153937"/>
            <a:gd name="connsiteX7" fmla="*/ 3923228 w 4519148"/>
            <a:gd name="connsiteY7" fmla="*/ 1435961 h 2153937"/>
            <a:gd name="connsiteX8" fmla="*/ 3913143 w 4519148"/>
            <a:gd name="connsiteY8" fmla="*/ 64 h 2153937"/>
            <a:gd name="connsiteX9" fmla="*/ 4519148 w 4519148"/>
            <a:gd name="connsiteY9" fmla="*/ 773863 h 2153937"/>
            <a:gd name="connsiteX0" fmla="*/ 0 w 4519148"/>
            <a:gd name="connsiteY0" fmla="*/ 219125 h 2172032"/>
            <a:gd name="connsiteX1" fmla="*/ 583341 w 4519148"/>
            <a:gd name="connsiteY1" fmla="*/ 1416475 h 2172032"/>
            <a:gd name="connsiteX2" fmla="*/ 1131457 w 4519148"/>
            <a:gd name="connsiteY2" fmla="*/ 653961 h 2172032"/>
            <a:gd name="connsiteX3" fmla="*/ 1736216 w 4519148"/>
            <a:gd name="connsiteY3" fmla="*/ 2172032 h 2172032"/>
            <a:gd name="connsiteX4" fmla="*/ 2259866 w 4519148"/>
            <a:gd name="connsiteY4" fmla="*/ 470061 h 2172032"/>
            <a:gd name="connsiteX5" fmla="*/ 2825715 w 4519148"/>
            <a:gd name="connsiteY5" fmla="*/ 894940 h 2172032"/>
            <a:gd name="connsiteX6" fmla="*/ 3406831 w 4519148"/>
            <a:gd name="connsiteY6" fmla="*/ 1628511 h 2172032"/>
            <a:gd name="connsiteX7" fmla="*/ 3923228 w 4519148"/>
            <a:gd name="connsiteY7" fmla="*/ 0 h 2172032"/>
            <a:gd name="connsiteX8" fmla="*/ 3913143 w 4519148"/>
            <a:gd name="connsiteY8" fmla="*/ 18159 h 2172032"/>
            <a:gd name="connsiteX9" fmla="*/ 4519148 w 4519148"/>
            <a:gd name="connsiteY9" fmla="*/ 791958 h 2172032"/>
            <a:gd name="connsiteX0" fmla="*/ 0 w 4572088"/>
            <a:gd name="connsiteY0" fmla="*/ 219125 h 2172032"/>
            <a:gd name="connsiteX1" fmla="*/ 583341 w 4572088"/>
            <a:gd name="connsiteY1" fmla="*/ 1416475 h 2172032"/>
            <a:gd name="connsiteX2" fmla="*/ 1131457 w 4572088"/>
            <a:gd name="connsiteY2" fmla="*/ 653961 h 2172032"/>
            <a:gd name="connsiteX3" fmla="*/ 1736216 w 4572088"/>
            <a:gd name="connsiteY3" fmla="*/ 2172032 h 2172032"/>
            <a:gd name="connsiteX4" fmla="*/ 2259866 w 4572088"/>
            <a:gd name="connsiteY4" fmla="*/ 470061 h 2172032"/>
            <a:gd name="connsiteX5" fmla="*/ 2825715 w 4572088"/>
            <a:gd name="connsiteY5" fmla="*/ 894940 h 2172032"/>
            <a:gd name="connsiteX6" fmla="*/ 3406831 w 4572088"/>
            <a:gd name="connsiteY6" fmla="*/ 1628511 h 2172032"/>
            <a:gd name="connsiteX7" fmla="*/ 3923228 w 4572088"/>
            <a:gd name="connsiteY7" fmla="*/ 0 h 2172032"/>
            <a:gd name="connsiteX8" fmla="*/ 3913143 w 4572088"/>
            <a:gd name="connsiteY8" fmla="*/ 18159 h 2172032"/>
            <a:gd name="connsiteX9" fmla="*/ 4572088 w 4572088"/>
            <a:gd name="connsiteY9" fmla="*/ 1205886 h 2172032"/>
            <a:gd name="connsiteX0" fmla="*/ 0 w 4572088"/>
            <a:gd name="connsiteY0" fmla="*/ 1386616 h 2172032"/>
            <a:gd name="connsiteX1" fmla="*/ 583341 w 4572088"/>
            <a:gd name="connsiteY1" fmla="*/ 1416475 h 2172032"/>
            <a:gd name="connsiteX2" fmla="*/ 1131457 w 4572088"/>
            <a:gd name="connsiteY2" fmla="*/ 653961 h 2172032"/>
            <a:gd name="connsiteX3" fmla="*/ 1736216 w 4572088"/>
            <a:gd name="connsiteY3" fmla="*/ 2172032 h 2172032"/>
            <a:gd name="connsiteX4" fmla="*/ 2259866 w 4572088"/>
            <a:gd name="connsiteY4" fmla="*/ 470061 h 2172032"/>
            <a:gd name="connsiteX5" fmla="*/ 2825715 w 4572088"/>
            <a:gd name="connsiteY5" fmla="*/ 894940 h 2172032"/>
            <a:gd name="connsiteX6" fmla="*/ 3406831 w 4572088"/>
            <a:gd name="connsiteY6" fmla="*/ 1628511 h 2172032"/>
            <a:gd name="connsiteX7" fmla="*/ 3923228 w 4572088"/>
            <a:gd name="connsiteY7" fmla="*/ 0 h 2172032"/>
            <a:gd name="connsiteX8" fmla="*/ 3913143 w 4572088"/>
            <a:gd name="connsiteY8" fmla="*/ 18159 h 2172032"/>
            <a:gd name="connsiteX9" fmla="*/ 4572088 w 4572088"/>
            <a:gd name="connsiteY9" fmla="*/ 1205886 h 2172032"/>
            <a:gd name="connsiteX0" fmla="*/ 0 w 4572088"/>
            <a:gd name="connsiteY0" fmla="*/ 1386616 h 2172032"/>
            <a:gd name="connsiteX1" fmla="*/ 562165 w 4572088"/>
            <a:gd name="connsiteY1" fmla="*/ 673527 h 2172032"/>
            <a:gd name="connsiteX2" fmla="*/ 1131457 w 4572088"/>
            <a:gd name="connsiteY2" fmla="*/ 653961 h 2172032"/>
            <a:gd name="connsiteX3" fmla="*/ 1736216 w 4572088"/>
            <a:gd name="connsiteY3" fmla="*/ 2172032 h 2172032"/>
            <a:gd name="connsiteX4" fmla="*/ 2259866 w 4572088"/>
            <a:gd name="connsiteY4" fmla="*/ 470061 h 2172032"/>
            <a:gd name="connsiteX5" fmla="*/ 2825715 w 4572088"/>
            <a:gd name="connsiteY5" fmla="*/ 894940 h 2172032"/>
            <a:gd name="connsiteX6" fmla="*/ 3406831 w 4572088"/>
            <a:gd name="connsiteY6" fmla="*/ 1628511 h 2172032"/>
            <a:gd name="connsiteX7" fmla="*/ 3923228 w 4572088"/>
            <a:gd name="connsiteY7" fmla="*/ 0 h 2172032"/>
            <a:gd name="connsiteX8" fmla="*/ 3913143 w 4572088"/>
            <a:gd name="connsiteY8" fmla="*/ 18159 h 2172032"/>
            <a:gd name="connsiteX9" fmla="*/ 4572088 w 4572088"/>
            <a:gd name="connsiteY9" fmla="*/ 1205886 h 2172032"/>
            <a:gd name="connsiteX0" fmla="*/ 0 w 4572088"/>
            <a:gd name="connsiteY0" fmla="*/ 1386616 h 2172032"/>
            <a:gd name="connsiteX1" fmla="*/ 562165 w 4572088"/>
            <a:gd name="connsiteY1" fmla="*/ 673527 h 2172032"/>
            <a:gd name="connsiteX2" fmla="*/ 1142045 w 4572088"/>
            <a:gd name="connsiteY2" fmla="*/ 2033723 h 2172032"/>
            <a:gd name="connsiteX3" fmla="*/ 1736216 w 4572088"/>
            <a:gd name="connsiteY3" fmla="*/ 2172032 h 2172032"/>
            <a:gd name="connsiteX4" fmla="*/ 2259866 w 4572088"/>
            <a:gd name="connsiteY4" fmla="*/ 470061 h 2172032"/>
            <a:gd name="connsiteX5" fmla="*/ 2825715 w 4572088"/>
            <a:gd name="connsiteY5" fmla="*/ 894940 h 2172032"/>
            <a:gd name="connsiteX6" fmla="*/ 3406831 w 4572088"/>
            <a:gd name="connsiteY6" fmla="*/ 1628511 h 2172032"/>
            <a:gd name="connsiteX7" fmla="*/ 3923228 w 4572088"/>
            <a:gd name="connsiteY7" fmla="*/ 0 h 2172032"/>
            <a:gd name="connsiteX8" fmla="*/ 3913143 w 4572088"/>
            <a:gd name="connsiteY8" fmla="*/ 18159 h 2172032"/>
            <a:gd name="connsiteX9" fmla="*/ 4572088 w 4572088"/>
            <a:gd name="connsiteY9" fmla="*/ 1205886 h 2172032"/>
            <a:gd name="connsiteX0" fmla="*/ 0 w 4572088"/>
            <a:gd name="connsiteY0" fmla="*/ 1386616 h 2035343"/>
            <a:gd name="connsiteX1" fmla="*/ 562165 w 4572088"/>
            <a:gd name="connsiteY1" fmla="*/ 673527 h 2035343"/>
            <a:gd name="connsiteX2" fmla="*/ 1142045 w 4572088"/>
            <a:gd name="connsiteY2" fmla="*/ 2033723 h 2035343"/>
            <a:gd name="connsiteX3" fmla="*/ 1746804 w 4572088"/>
            <a:gd name="connsiteY3" fmla="*/ 452637 h 2035343"/>
            <a:gd name="connsiteX4" fmla="*/ 2259866 w 4572088"/>
            <a:gd name="connsiteY4" fmla="*/ 470061 h 2035343"/>
            <a:gd name="connsiteX5" fmla="*/ 2825715 w 4572088"/>
            <a:gd name="connsiteY5" fmla="*/ 894940 h 2035343"/>
            <a:gd name="connsiteX6" fmla="*/ 3406831 w 4572088"/>
            <a:gd name="connsiteY6" fmla="*/ 1628511 h 2035343"/>
            <a:gd name="connsiteX7" fmla="*/ 3923228 w 4572088"/>
            <a:gd name="connsiteY7" fmla="*/ 0 h 2035343"/>
            <a:gd name="connsiteX8" fmla="*/ 3913143 w 4572088"/>
            <a:gd name="connsiteY8" fmla="*/ 18159 h 2035343"/>
            <a:gd name="connsiteX9" fmla="*/ 4572088 w 4572088"/>
            <a:gd name="connsiteY9" fmla="*/ 1205886 h 2035343"/>
            <a:gd name="connsiteX0" fmla="*/ 0 w 4572088"/>
            <a:gd name="connsiteY0" fmla="*/ 1386616 h 2035343"/>
            <a:gd name="connsiteX1" fmla="*/ 562165 w 4572088"/>
            <a:gd name="connsiteY1" fmla="*/ 673527 h 2035343"/>
            <a:gd name="connsiteX2" fmla="*/ 1142045 w 4572088"/>
            <a:gd name="connsiteY2" fmla="*/ 2033723 h 2035343"/>
            <a:gd name="connsiteX3" fmla="*/ 1746804 w 4572088"/>
            <a:gd name="connsiteY3" fmla="*/ 452637 h 2035343"/>
            <a:gd name="connsiteX4" fmla="*/ 2238690 w 4572088"/>
            <a:gd name="connsiteY4" fmla="*/ 990125 h 2035343"/>
            <a:gd name="connsiteX5" fmla="*/ 2825715 w 4572088"/>
            <a:gd name="connsiteY5" fmla="*/ 894940 h 2035343"/>
            <a:gd name="connsiteX6" fmla="*/ 3406831 w 4572088"/>
            <a:gd name="connsiteY6" fmla="*/ 1628511 h 2035343"/>
            <a:gd name="connsiteX7" fmla="*/ 3923228 w 4572088"/>
            <a:gd name="connsiteY7" fmla="*/ 0 h 2035343"/>
            <a:gd name="connsiteX8" fmla="*/ 3913143 w 4572088"/>
            <a:gd name="connsiteY8" fmla="*/ 18159 h 2035343"/>
            <a:gd name="connsiteX9" fmla="*/ 4572088 w 4572088"/>
            <a:gd name="connsiteY9" fmla="*/ 1205886 h 2035343"/>
            <a:gd name="connsiteX0" fmla="*/ 0 w 4572088"/>
            <a:gd name="connsiteY0" fmla="*/ 1386616 h 2035343"/>
            <a:gd name="connsiteX1" fmla="*/ 562165 w 4572088"/>
            <a:gd name="connsiteY1" fmla="*/ 673527 h 2035343"/>
            <a:gd name="connsiteX2" fmla="*/ 1142045 w 4572088"/>
            <a:gd name="connsiteY2" fmla="*/ 2033723 h 2035343"/>
            <a:gd name="connsiteX3" fmla="*/ 1746804 w 4572088"/>
            <a:gd name="connsiteY3" fmla="*/ 452637 h 2035343"/>
            <a:gd name="connsiteX4" fmla="*/ 2238690 w 4572088"/>
            <a:gd name="connsiteY4" fmla="*/ 990125 h 2035343"/>
            <a:gd name="connsiteX5" fmla="*/ 2857479 w 4572088"/>
            <a:gd name="connsiteY5" fmla="*/ 1637889 h 2035343"/>
            <a:gd name="connsiteX6" fmla="*/ 3406831 w 4572088"/>
            <a:gd name="connsiteY6" fmla="*/ 1628511 h 2035343"/>
            <a:gd name="connsiteX7" fmla="*/ 3923228 w 4572088"/>
            <a:gd name="connsiteY7" fmla="*/ 0 h 2035343"/>
            <a:gd name="connsiteX8" fmla="*/ 3913143 w 4572088"/>
            <a:gd name="connsiteY8" fmla="*/ 18159 h 2035343"/>
            <a:gd name="connsiteX9" fmla="*/ 4572088 w 4572088"/>
            <a:gd name="connsiteY9" fmla="*/ 1205886 h 2035343"/>
            <a:gd name="connsiteX0" fmla="*/ 0 w 4572088"/>
            <a:gd name="connsiteY0" fmla="*/ 1413819 h 2062546"/>
            <a:gd name="connsiteX1" fmla="*/ 562165 w 4572088"/>
            <a:gd name="connsiteY1" fmla="*/ 700730 h 2062546"/>
            <a:gd name="connsiteX2" fmla="*/ 1142045 w 4572088"/>
            <a:gd name="connsiteY2" fmla="*/ 2060926 h 2062546"/>
            <a:gd name="connsiteX3" fmla="*/ 1746804 w 4572088"/>
            <a:gd name="connsiteY3" fmla="*/ 479840 h 2062546"/>
            <a:gd name="connsiteX4" fmla="*/ 2238690 w 4572088"/>
            <a:gd name="connsiteY4" fmla="*/ 1017328 h 2062546"/>
            <a:gd name="connsiteX5" fmla="*/ 2857479 w 4572088"/>
            <a:gd name="connsiteY5" fmla="*/ 1665092 h 2062546"/>
            <a:gd name="connsiteX6" fmla="*/ 3375067 w 4572088"/>
            <a:gd name="connsiteY6" fmla="*/ 0 h 2062546"/>
            <a:gd name="connsiteX7" fmla="*/ 3923228 w 4572088"/>
            <a:gd name="connsiteY7" fmla="*/ 27203 h 2062546"/>
            <a:gd name="connsiteX8" fmla="*/ 3913143 w 4572088"/>
            <a:gd name="connsiteY8" fmla="*/ 45362 h 2062546"/>
            <a:gd name="connsiteX9" fmla="*/ 4572088 w 4572088"/>
            <a:gd name="connsiteY9" fmla="*/ 1233089 h 2062546"/>
            <a:gd name="connsiteX0" fmla="*/ 0 w 4572088"/>
            <a:gd name="connsiteY0" fmla="*/ 1413819 h 2062546"/>
            <a:gd name="connsiteX1" fmla="*/ 562165 w 4572088"/>
            <a:gd name="connsiteY1" fmla="*/ 700730 h 2062546"/>
            <a:gd name="connsiteX2" fmla="*/ 1142045 w 4572088"/>
            <a:gd name="connsiteY2" fmla="*/ 2060926 h 2062546"/>
            <a:gd name="connsiteX3" fmla="*/ 1746804 w 4572088"/>
            <a:gd name="connsiteY3" fmla="*/ 479840 h 2062546"/>
            <a:gd name="connsiteX4" fmla="*/ 2238690 w 4572088"/>
            <a:gd name="connsiteY4" fmla="*/ 1017328 h 2062546"/>
            <a:gd name="connsiteX5" fmla="*/ 2857479 w 4572088"/>
            <a:gd name="connsiteY5" fmla="*/ 1665092 h 2062546"/>
            <a:gd name="connsiteX6" fmla="*/ 3375067 w 4572088"/>
            <a:gd name="connsiteY6" fmla="*/ 0 h 2062546"/>
            <a:gd name="connsiteX7" fmla="*/ 3923228 w 4572088"/>
            <a:gd name="connsiteY7" fmla="*/ 27203 h 2062546"/>
            <a:gd name="connsiteX8" fmla="*/ 3891968 w 4572088"/>
            <a:gd name="connsiteY8" fmla="*/ 1138557 h 2062546"/>
            <a:gd name="connsiteX9" fmla="*/ 4572088 w 4572088"/>
            <a:gd name="connsiteY9" fmla="*/ 1233089 h 2062546"/>
            <a:gd name="connsiteX0" fmla="*/ 0 w 4572088"/>
            <a:gd name="connsiteY0" fmla="*/ 1413819 h 2062546"/>
            <a:gd name="connsiteX1" fmla="*/ 562165 w 4572088"/>
            <a:gd name="connsiteY1" fmla="*/ 700730 h 2062546"/>
            <a:gd name="connsiteX2" fmla="*/ 1142045 w 4572088"/>
            <a:gd name="connsiteY2" fmla="*/ 2060926 h 2062546"/>
            <a:gd name="connsiteX3" fmla="*/ 1746804 w 4572088"/>
            <a:gd name="connsiteY3" fmla="*/ 479840 h 2062546"/>
            <a:gd name="connsiteX4" fmla="*/ 2238690 w 4572088"/>
            <a:gd name="connsiteY4" fmla="*/ 1017328 h 2062546"/>
            <a:gd name="connsiteX5" fmla="*/ 2857479 w 4572088"/>
            <a:gd name="connsiteY5" fmla="*/ 1665092 h 2062546"/>
            <a:gd name="connsiteX6" fmla="*/ 3375067 w 4572088"/>
            <a:gd name="connsiteY6" fmla="*/ 0 h 2062546"/>
            <a:gd name="connsiteX7" fmla="*/ 3891464 w 4572088"/>
            <a:gd name="connsiteY7" fmla="*/ 1131013 h 2062546"/>
            <a:gd name="connsiteX8" fmla="*/ 3891968 w 4572088"/>
            <a:gd name="connsiteY8" fmla="*/ 1138557 h 2062546"/>
            <a:gd name="connsiteX9" fmla="*/ 4572088 w 4572088"/>
            <a:gd name="connsiteY9" fmla="*/ 1233089 h 2062546"/>
            <a:gd name="connsiteX0" fmla="*/ 0 w 4561499"/>
            <a:gd name="connsiteY0" fmla="*/ 1413819 h 2062546"/>
            <a:gd name="connsiteX1" fmla="*/ 562165 w 4561499"/>
            <a:gd name="connsiteY1" fmla="*/ 700730 h 2062546"/>
            <a:gd name="connsiteX2" fmla="*/ 1142045 w 4561499"/>
            <a:gd name="connsiteY2" fmla="*/ 2060926 h 2062546"/>
            <a:gd name="connsiteX3" fmla="*/ 1746804 w 4561499"/>
            <a:gd name="connsiteY3" fmla="*/ 479840 h 2062546"/>
            <a:gd name="connsiteX4" fmla="*/ 2238690 w 4561499"/>
            <a:gd name="connsiteY4" fmla="*/ 1017328 h 2062546"/>
            <a:gd name="connsiteX5" fmla="*/ 2857479 w 4561499"/>
            <a:gd name="connsiteY5" fmla="*/ 1665092 h 2062546"/>
            <a:gd name="connsiteX6" fmla="*/ 3375067 w 4561499"/>
            <a:gd name="connsiteY6" fmla="*/ 0 h 2062546"/>
            <a:gd name="connsiteX7" fmla="*/ 3891464 w 4561499"/>
            <a:gd name="connsiteY7" fmla="*/ 1131013 h 2062546"/>
            <a:gd name="connsiteX8" fmla="*/ 3891968 w 4561499"/>
            <a:gd name="connsiteY8" fmla="*/ 1138557 h 2062546"/>
            <a:gd name="connsiteX9" fmla="*/ 4561499 w 4561499"/>
            <a:gd name="connsiteY9" fmla="*/ 362778 h 2062546"/>
            <a:gd name="connsiteX0" fmla="*/ 0 w 4582675"/>
            <a:gd name="connsiteY0" fmla="*/ 1413819 h 2062546"/>
            <a:gd name="connsiteX1" fmla="*/ 562165 w 4582675"/>
            <a:gd name="connsiteY1" fmla="*/ 700730 h 2062546"/>
            <a:gd name="connsiteX2" fmla="*/ 1142045 w 4582675"/>
            <a:gd name="connsiteY2" fmla="*/ 2060926 h 2062546"/>
            <a:gd name="connsiteX3" fmla="*/ 1746804 w 4582675"/>
            <a:gd name="connsiteY3" fmla="*/ 479840 h 2062546"/>
            <a:gd name="connsiteX4" fmla="*/ 2238690 w 4582675"/>
            <a:gd name="connsiteY4" fmla="*/ 1017328 h 2062546"/>
            <a:gd name="connsiteX5" fmla="*/ 2857479 w 4582675"/>
            <a:gd name="connsiteY5" fmla="*/ 1665092 h 2062546"/>
            <a:gd name="connsiteX6" fmla="*/ 3375067 w 4582675"/>
            <a:gd name="connsiteY6" fmla="*/ 0 h 2062546"/>
            <a:gd name="connsiteX7" fmla="*/ 3891464 w 4582675"/>
            <a:gd name="connsiteY7" fmla="*/ 1131013 h 2062546"/>
            <a:gd name="connsiteX8" fmla="*/ 3891968 w 4582675"/>
            <a:gd name="connsiteY8" fmla="*/ 1138557 h 2062546"/>
            <a:gd name="connsiteX9" fmla="*/ 4582675 w 4582675"/>
            <a:gd name="connsiteY9" fmla="*/ 320324 h 2062546"/>
            <a:gd name="connsiteX0" fmla="*/ 0 w 4593263"/>
            <a:gd name="connsiteY0" fmla="*/ 1413819 h 2062546"/>
            <a:gd name="connsiteX1" fmla="*/ 562165 w 4593263"/>
            <a:gd name="connsiteY1" fmla="*/ 700730 h 2062546"/>
            <a:gd name="connsiteX2" fmla="*/ 1142045 w 4593263"/>
            <a:gd name="connsiteY2" fmla="*/ 2060926 h 2062546"/>
            <a:gd name="connsiteX3" fmla="*/ 1746804 w 4593263"/>
            <a:gd name="connsiteY3" fmla="*/ 479840 h 2062546"/>
            <a:gd name="connsiteX4" fmla="*/ 2238690 w 4593263"/>
            <a:gd name="connsiteY4" fmla="*/ 1017328 h 2062546"/>
            <a:gd name="connsiteX5" fmla="*/ 2857479 w 4593263"/>
            <a:gd name="connsiteY5" fmla="*/ 1665092 h 2062546"/>
            <a:gd name="connsiteX6" fmla="*/ 3375067 w 4593263"/>
            <a:gd name="connsiteY6" fmla="*/ 0 h 2062546"/>
            <a:gd name="connsiteX7" fmla="*/ 3891464 w 4593263"/>
            <a:gd name="connsiteY7" fmla="*/ 1131013 h 2062546"/>
            <a:gd name="connsiteX8" fmla="*/ 3891968 w 4593263"/>
            <a:gd name="connsiteY8" fmla="*/ 1138557 h 2062546"/>
            <a:gd name="connsiteX9" fmla="*/ 4593263 w 4593263"/>
            <a:gd name="connsiteY9" fmla="*/ 362779 h 2062546"/>
            <a:gd name="connsiteX0" fmla="*/ 0 w 4572088"/>
            <a:gd name="connsiteY0" fmla="*/ 1413819 h 2062546"/>
            <a:gd name="connsiteX1" fmla="*/ 562165 w 4572088"/>
            <a:gd name="connsiteY1" fmla="*/ 700730 h 2062546"/>
            <a:gd name="connsiteX2" fmla="*/ 1142045 w 4572088"/>
            <a:gd name="connsiteY2" fmla="*/ 2060926 h 2062546"/>
            <a:gd name="connsiteX3" fmla="*/ 1746804 w 4572088"/>
            <a:gd name="connsiteY3" fmla="*/ 479840 h 2062546"/>
            <a:gd name="connsiteX4" fmla="*/ 2238690 w 4572088"/>
            <a:gd name="connsiteY4" fmla="*/ 1017328 h 2062546"/>
            <a:gd name="connsiteX5" fmla="*/ 2857479 w 4572088"/>
            <a:gd name="connsiteY5" fmla="*/ 1665092 h 2062546"/>
            <a:gd name="connsiteX6" fmla="*/ 3375067 w 4572088"/>
            <a:gd name="connsiteY6" fmla="*/ 0 h 2062546"/>
            <a:gd name="connsiteX7" fmla="*/ 3891464 w 4572088"/>
            <a:gd name="connsiteY7" fmla="*/ 1131013 h 2062546"/>
            <a:gd name="connsiteX8" fmla="*/ 3891968 w 4572088"/>
            <a:gd name="connsiteY8" fmla="*/ 1138557 h 2062546"/>
            <a:gd name="connsiteX9" fmla="*/ 4572088 w 4572088"/>
            <a:gd name="connsiteY9" fmla="*/ 277871 h 2062546"/>
            <a:gd name="connsiteX0" fmla="*/ 0 w 4603852"/>
            <a:gd name="connsiteY0" fmla="*/ 1413819 h 2062546"/>
            <a:gd name="connsiteX1" fmla="*/ 562165 w 4603852"/>
            <a:gd name="connsiteY1" fmla="*/ 700730 h 2062546"/>
            <a:gd name="connsiteX2" fmla="*/ 1142045 w 4603852"/>
            <a:gd name="connsiteY2" fmla="*/ 2060926 h 2062546"/>
            <a:gd name="connsiteX3" fmla="*/ 1746804 w 4603852"/>
            <a:gd name="connsiteY3" fmla="*/ 479840 h 2062546"/>
            <a:gd name="connsiteX4" fmla="*/ 2238690 w 4603852"/>
            <a:gd name="connsiteY4" fmla="*/ 1017328 h 2062546"/>
            <a:gd name="connsiteX5" fmla="*/ 2857479 w 4603852"/>
            <a:gd name="connsiteY5" fmla="*/ 1665092 h 2062546"/>
            <a:gd name="connsiteX6" fmla="*/ 3375067 w 4603852"/>
            <a:gd name="connsiteY6" fmla="*/ 0 h 2062546"/>
            <a:gd name="connsiteX7" fmla="*/ 3891464 w 4603852"/>
            <a:gd name="connsiteY7" fmla="*/ 1131013 h 2062546"/>
            <a:gd name="connsiteX8" fmla="*/ 3891968 w 4603852"/>
            <a:gd name="connsiteY8" fmla="*/ 1138557 h 2062546"/>
            <a:gd name="connsiteX9" fmla="*/ 4603852 w 4603852"/>
            <a:gd name="connsiteY9" fmla="*/ 330939 h 2062546"/>
            <a:gd name="connsiteX0" fmla="*/ 0 w 4625028"/>
            <a:gd name="connsiteY0" fmla="*/ 1413819 h 2062546"/>
            <a:gd name="connsiteX1" fmla="*/ 562165 w 4625028"/>
            <a:gd name="connsiteY1" fmla="*/ 700730 h 2062546"/>
            <a:gd name="connsiteX2" fmla="*/ 1142045 w 4625028"/>
            <a:gd name="connsiteY2" fmla="*/ 2060926 h 2062546"/>
            <a:gd name="connsiteX3" fmla="*/ 1746804 w 4625028"/>
            <a:gd name="connsiteY3" fmla="*/ 479840 h 2062546"/>
            <a:gd name="connsiteX4" fmla="*/ 2238690 w 4625028"/>
            <a:gd name="connsiteY4" fmla="*/ 1017328 h 2062546"/>
            <a:gd name="connsiteX5" fmla="*/ 2857479 w 4625028"/>
            <a:gd name="connsiteY5" fmla="*/ 1665092 h 2062546"/>
            <a:gd name="connsiteX6" fmla="*/ 3375067 w 4625028"/>
            <a:gd name="connsiteY6" fmla="*/ 0 h 2062546"/>
            <a:gd name="connsiteX7" fmla="*/ 3891464 w 4625028"/>
            <a:gd name="connsiteY7" fmla="*/ 1131013 h 2062546"/>
            <a:gd name="connsiteX8" fmla="*/ 3891968 w 4625028"/>
            <a:gd name="connsiteY8" fmla="*/ 1138557 h 2062546"/>
            <a:gd name="connsiteX9" fmla="*/ 4625028 w 4625028"/>
            <a:gd name="connsiteY9" fmla="*/ 935912 h 2062546"/>
            <a:gd name="connsiteX0" fmla="*/ 0 w 4614439"/>
            <a:gd name="connsiteY0" fmla="*/ 1413819 h 2062546"/>
            <a:gd name="connsiteX1" fmla="*/ 562165 w 4614439"/>
            <a:gd name="connsiteY1" fmla="*/ 700730 h 2062546"/>
            <a:gd name="connsiteX2" fmla="*/ 1142045 w 4614439"/>
            <a:gd name="connsiteY2" fmla="*/ 2060926 h 2062546"/>
            <a:gd name="connsiteX3" fmla="*/ 1746804 w 4614439"/>
            <a:gd name="connsiteY3" fmla="*/ 479840 h 2062546"/>
            <a:gd name="connsiteX4" fmla="*/ 2238690 w 4614439"/>
            <a:gd name="connsiteY4" fmla="*/ 1017328 h 2062546"/>
            <a:gd name="connsiteX5" fmla="*/ 2857479 w 4614439"/>
            <a:gd name="connsiteY5" fmla="*/ 1665092 h 2062546"/>
            <a:gd name="connsiteX6" fmla="*/ 3375067 w 4614439"/>
            <a:gd name="connsiteY6" fmla="*/ 0 h 2062546"/>
            <a:gd name="connsiteX7" fmla="*/ 3891464 w 4614439"/>
            <a:gd name="connsiteY7" fmla="*/ 1131013 h 2062546"/>
            <a:gd name="connsiteX8" fmla="*/ 3891968 w 4614439"/>
            <a:gd name="connsiteY8" fmla="*/ 1138557 h 2062546"/>
            <a:gd name="connsiteX9" fmla="*/ 4614439 w 4614439"/>
            <a:gd name="connsiteY9" fmla="*/ 925299 h 2062546"/>
            <a:gd name="connsiteX0" fmla="*/ 0 w 4625027"/>
            <a:gd name="connsiteY0" fmla="*/ 1413819 h 2062546"/>
            <a:gd name="connsiteX1" fmla="*/ 562165 w 4625027"/>
            <a:gd name="connsiteY1" fmla="*/ 700730 h 2062546"/>
            <a:gd name="connsiteX2" fmla="*/ 1142045 w 4625027"/>
            <a:gd name="connsiteY2" fmla="*/ 2060926 h 2062546"/>
            <a:gd name="connsiteX3" fmla="*/ 1746804 w 4625027"/>
            <a:gd name="connsiteY3" fmla="*/ 479840 h 2062546"/>
            <a:gd name="connsiteX4" fmla="*/ 2238690 w 4625027"/>
            <a:gd name="connsiteY4" fmla="*/ 1017328 h 2062546"/>
            <a:gd name="connsiteX5" fmla="*/ 2857479 w 4625027"/>
            <a:gd name="connsiteY5" fmla="*/ 1665092 h 2062546"/>
            <a:gd name="connsiteX6" fmla="*/ 3375067 w 4625027"/>
            <a:gd name="connsiteY6" fmla="*/ 0 h 2062546"/>
            <a:gd name="connsiteX7" fmla="*/ 3891464 w 4625027"/>
            <a:gd name="connsiteY7" fmla="*/ 1131013 h 2062546"/>
            <a:gd name="connsiteX8" fmla="*/ 3891968 w 4625027"/>
            <a:gd name="connsiteY8" fmla="*/ 1138557 h 2062546"/>
            <a:gd name="connsiteX9" fmla="*/ 4625027 w 4625027"/>
            <a:gd name="connsiteY9" fmla="*/ 957140 h 2062546"/>
            <a:gd name="connsiteX0" fmla="*/ 0 w 4593263"/>
            <a:gd name="connsiteY0" fmla="*/ 1413819 h 2062546"/>
            <a:gd name="connsiteX1" fmla="*/ 562165 w 4593263"/>
            <a:gd name="connsiteY1" fmla="*/ 700730 h 2062546"/>
            <a:gd name="connsiteX2" fmla="*/ 1142045 w 4593263"/>
            <a:gd name="connsiteY2" fmla="*/ 2060926 h 2062546"/>
            <a:gd name="connsiteX3" fmla="*/ 1746804 w 4593263"/>
            <a:gd name="connsiteY3" fmla="*/ 479840 h 2062546"/>
            <a:gd name="connsiteX4" fmla="*/ 2238690 w 4593263"/>
            <a:gd name="connsiteY4" fmla="*/ 1017328 h 2062546"/>
            <a:gd name="connsiteX5" fmla="*/ 2857479 w 4593263"/>
            <a:gd name="connsiteY5" fmla="*/ 1665092 h 2062546"/>
            <a:gd name="connsiteX6" fmla="*/ 3375067 w 4593263"/>
            <a:gd name="connsiteY6" fmla="*/ 0 h 2062546"/>
            <a:gd name="connsiteX7" fmla="*/ 3891464 w 4593263"/>
            <a:gd name="connsiteY7" fmla="*/ 1131013 h 2062546"/>
            <a:gd name="connsiteX8" fmla="*/ 3891968 w 4593263"/>
            <a:gd name="connsiteY8" fmla="*/ 1138557 h 2062546"/>
            <a:gd name="connsiteX9" fmla="*/ 4593263 w 4593263"/>
            <a:gd name="connsiteY9" fmla="*/ 352168 h 2062546"/>
            <a:gd name="connsiteX0" fmla="*/ 0 w 4572087"/>
            <a:gd name="connsiteY0" fmla="*/ 1413819 h 2062546"/>
            <a:gd name="connsiteX1" fmla="*/ 562165 w 4572087"/>
            <a:gd name="connsiteY1" fmla="*/ 700730 h 2062546"/>
            <a:gd name="connsiteX2" fmla="*/ 1142045 w 4572087"/>
            <a:gd name="connsiteY2" fmla="*/ 2060926 h 2062546"/>
            <a:gd name="connsiteX3" fmla="*/ 1746804 w 4572087"/>
            <a:gd name="connsiteY3" fmla="*/ 479840 h 2062546"/>
            <a:gd name="connsiteX4" fmla="*/ 2238690 w 4572087"/>
            <a:gd name="connsiteY4" fmla="*/ 1017328 h 2062546"/>
            <a:gd name="connsiteX5" fmla="*/ 2857479 w 4572087"/>
            <a:gd name="connsiteY5" fmla="*/ 1665092 h 2062546"/>
            <a:gd name="connsiteX6" fmla="*/ 3375067 w 4572087"/>
            <a:gd name="connsiteY6" fmla="*/ 0 h 2062546"/>
            <a:gd name="connsiteX7" fmla="*/ 3891464 w 4572087"/>
            <a:gd name="connsiteY7" fmla="*/ 1131013 h 2062546"/>
            <a:gd name="connsiteX8" fmla="*/ 3891968 w 4572087"/>
            <a:gd name="connsiteY8" fmla="*/ 1138557 h 2062546"/>
            <a:gd name="connsiteX9" fmla="*/ 4572087 w 4572087"/>
            <a:gd name="connsiteY9" fmla="*/ 394621 h 2062546"/>
            <a:gd name="connsiteX0" fmla="*/ 0 w 4540323"/>
            <a:gd name="connsiteY0" fmla="*/ 1413819 h 2062546"/>
            <a:gd name="connsiteX1" fmla="*/ 562165 w 4540323"/>
            <a:gd name="connsiteY1" fmla="*/ 700730 h 2062546"/>
            <a:gd name="connsiteX2" fmla="*/ 1142045 w 4540323"/>
            <a:gd name="connsiteY2" fmla="*/ 2060926 h 2062546"/>
            <a:gd name="connsiteX3" fmla="*/ 1746804 w 4540323"/>
            <a:gd name="connsiteY3" fmla="*/ 479840 h 2062546"/>
            <a:gd name="connsiteX4" fmla="*/ 2238690 w 4540323"/>
            <a:gd name="connsiteY4" fmla="*/ 1017328 h 2062546"/>
            <a:gd name="connsiteX5" fmla="*/ 2857479 w 4540323"/>
            <a:gd name="connsiteY5" fmla="*/ 1665092 h 2062546"/>
            <a:gd name="connsiteX6" fmla="*/ 3375067 w 4540323"/>
            <a:gd name="connsiteY6" fmla="*/ 0 h 2062546"/>
            <a:gd name="connsiteX7" fmla="*/ 3891464 w 4540323"/>
            <a:gd name="connsiteY7" fmla="*/ 1131013 h 2062546"/>
            <a:gd name="connsiteX8" fmla="*/ 3891968 w 4540323"/>
            <a:gd name="connsiteY8" fmla="*/ 1138557 h 2062546"/>
            <a:gd name="connsiteX9" fmla="*/ 4540323 w 4540323"/>
            <a:gd name="connsiteY9" fmla="*/ 394621 h 2062546"/>
            <a:gd name="connsiteX0" fmla="*/ 0 w 4540323"/>
            <a:gd name="connsiteY0" fmla="*/ 1413819 h 2062546"/>
            <a:gd name="connsiteX1" fmla="*/ 562165 w 4540323"/>
            <a:gd name="connsiteY1" fmla="*/ 700730 h 2062546"/>
            <a:gd name="connsiteX2" fmla="*/ 1142045 w 4540323"/>
            <a:gd name="connsiteY2" fmla="*/ 2060926 h 2062546"/>
            <a:gd name="connsiteX3" fmla="*/ 1746804 w 4540323"/>
            <a:gd name="connsiteY3" fmla="*/ 479840 h 2062546"/>
            <a:gd name="connsiteX4" fmla="*/ 2238690 w 4540323"/>
            <a:gd name="connsiteY4" fmla="*/ 1017328 h 2062546"/>
            <a:gd name="connsiteX5" fmla="*/ 2857479 w 4540323"/>
            <a:gd name="connsiteY5" fmla="*/ 1665092 h 2062546"/>
            <a:gd name="connsiteX6" fmla="*/ 3375067 w 4540323"/>
            <a:gd name="connsiteY6" fmla="*/ 0 h 2062546"/>
            <a:gd name="connsiteX7" fmla="*/ 3891464 w 4540323"/>
            <a:gd name="connsiteY7" fmla="*/ 1131013 h 2062546"/>
            <a:gd name="connsiteX8" fmla="*/ 3891968 w 4540323"/>
            <a:gd name="connsiteY8" fmla="*/ 1138557 h 2062546"/>
            <a:gd name="connsiteX9" fmla="*/ 4540323 w 4540323"/>
            <a:gd name="connsiteY9" fmla="*/ 341553 h 2062546"/>
            <a:gd name="connsiteX0" fmla="*/ 0 w 4572087"/>
            <a:gd name="connsiteY0" fmla="*/ 1413819 h 2062546"/>
            <a:gd name="connsiteX1" fmla="*/ 562165 w 4572087"/>
            <a:gd name="connsiteY1" fmla="*/ 700730 h 2062546"/>
            <a:gd name="connsiteX2" fmla="*/ 1142045 w 4572087"/>
            <a:gd name="connsiteY2" fmla="*/ 2060926 h 2062546"/>
            <a:gd name="connsiteX3" fmla="*/ 1746804 w 4572087"/>
            <a:gd name="connsiteY3" fmla="*/ 479840 h 2062546"/>
            <a:gd name="connsiteX4" fmla="*/ 2238690 w 4572087"/>
            <a:gd name="connsiteY4" fmla="*/ 1017328 h 2062546"/>
            <a:gd name="connsiteX5" fmla="*/ 2857479 w 4572087"/>
            <a:gd name="connsiteY5" fmla="*/ 1665092 h 2062546"/>
            <a:gd name="connsiteX6" fmla="*/ 3375067 w 4572087"/>
            <a:gd name="connsiteY6" fmla="*/ 0 h 2062546"/>
            <a:gd name="connsiteX7" fmla="*/ 3891464 w 4572087"/>
            <a:gd name="connsiteY7" fmla="*/ 1131013 h 2062546"/>
            <a:gd name="connsiteX8" fmla="*/ 3891968 w 4572087"/>
            <a:gd name="connsiteY8" fmla="*/ 1138557 h 2062546"/>
            <a:gd name="connsiteX9" fmla="*/ 4572087 w 4572087"/>
            <a:gd name="connsiteY9" fmla="*/ 426462 h 2062546"/>
            <a:gd name="connsiteX0" fmla="*/ 0 w 4317975"/>
            <a:gd name="connsiteY0" fmla="*/ 1413819 h 2062546"/>
            <a:gd name="connsiteX1" fmla="*/ 562165 w 4317975"/>
            <a:gd name="connsiteY1" fmla="*/ 700730 h 2062546"/>
            <a:gd name="connsiteX2" fmla="*/ 1142045 w 4317975"/>
            <a:gd name="connsiteY2" fmla="*/ 2060926 h 2062546"/>
            <a:gd name="connsiteX3" fmla="*/ 1746804 w 4317975"/>
            <a:gd name="connsiteY3" fmla="*/ 479840 h 2062546"/>
            <a:gd name="connsiteX4" fmla="*/ 2238690 w 4317975"/>
            <a:gd name="connsiteY4" fmla="*/ 1017328 h 2062546"/>
            <a:gd name="connsiteX5" fmla="*/ 2857479 w 4317975"/>
            <a:gd name="connsiteY5" fmla="*/ 1665092 h 2062546"/>
            <a:gd name="connsiteX6" fmla="*/ 3375067 w 4317975"/>
            <a:gd name="connsiteY6" fmla="*/ 0 h 2062546"/>
            <a:gd name="connsiteX7" fmla="*/ 3891464 w 4317975"/>
            <a:gd name="connsiteY7" fmla="*/ 1131013 h 2062546"/>
            <a:gd name="connsiteX8" fmla="*/ 3891968 w 4317975"/>
            <a:gd name="connsiteY8" fmla="*/ 1138557 h 2062546"/>
            <a:gd name="connsiteX9" fmla="*/ 4317975 w 4317975"/>
            <a:gd name="connsiteY9" fmla="*/ 44374 h 2062546"/>
            <a:gd name="connsiteX0" fmla="*/ 0 w 4317975"/>
            <a:gd name="connsiteY0" fmla="*/ 1413819 h 2062546"/>
            <a:gd name="connsiteX1" fmla="*/ 562165 w 4317975"/>
            <a:gd name="connsiteY1" fmla="*/ 700730 h 2062546"/>
            <a:gd name="connsiteX2" fmla="*/ 1142045 w 4317975"/>
            <a:gd name="connsiteY2" fmla="*/ 2060926 h 2062546"/>
            <a:gd name="connsiteX3" fmla="*/ 1746804 w 4317975"/>
            <a:gd name="connsiteY3" fmla="*/ 479840 h 2062546"/>
            <a:gd name="connsiteX4" fmla="*/ 2238690 w 4317975"/>
            <a:gd name="connsiteY4" fmla="*/ 1017328 h 2062546"/>
            <a:gd name="connsiteX5" fmla="*/ 2857479 w 4317975"/>
            <a:gd name="connsiteY5" fmla="*/ 1665092 h 2062546"/>
            <a:gd name="connsiteX6" fmla="*/ 3375067 w 4317975"/>
            <a:gd name="connsiteY6" fmla="*/ 0 h 2062546"/>
            <a:gd name="connsiteX7" fmla="*/ 3891464 w 4317975"/>
            <a:gd name="connsiteY7" fmla="*/ 1131013 h 2062546"/>
            <a:gd name="connsiteX8" fmla="*/ 3891968 w 4317975"/>
            <a:gd name="connsiteY8" fmla="*/ 1138557 h 2062546"/>
            <a:gd name="connsiteX9" fmla="*/ 4317975 w 4317975"/>
            <a:gd name="connsiteY9" fmla="*/ 44374 h 2062546"/>
            <a:gd name="connsiteX0" fmla="*/ 0 w 4603851"/>
            <a:gd name="connsiteY0" fmla="*/ 1413819 h 2062546"/>
            <a:gd name="connsiteX1" fmla="*/ 562165 w 4603851"/>
            <a:gd name="connsiteY1" fmla="*/ 700730 h 2062546"/>
            <a:gd name="connsiteX2" fmla="*/ 1142045 w 4603851"/>
            <a:gd name="connsiteY2" fmla="*/ 2060926 h 2062546"/>
            <a:gd name="connsiteX3" fmla="*/ 1746804 w 4603851"/>
            <a:gd name="connsiteY3" fmla="*/ 479840 h 2062546"/>
            <a:gd name="connsiteX4" fmla="*/ 2238690 w 4603851"/>
            <a:gd name="connsiteY4" fmla="*/ 1017328 h 2062546"/>
            <a:gd name="connsiteX5" fmla="*/ 2857479 w 4603851"/>
            <a:gd name="connsiteY5" fmla="*/ 1665092 h 2062546"/>
            <a:gd name="connsiteX6" fmla="*/ 3375067 w 4603851"/>
            <a:gd name="connsiteY6" fmla="*/ 0 h 2062546"/>
            <a:gd name="connsiteX7" fmla="*/ 3891464 w 4603851"/>
            <a:gd name="connsiteY7" fmla="*/ 1131013 h 2062546"/>
            <a:gd name="connsiteX8" fmla="*/ 3891968 w 4603851"/>
            <a:gd name="connsiteY8" fmla="*/ 1138557 h 2062546"/>
            <a:gd name="connsiteX9" fmla="*/ 4603851 w 4603851"/>
            <a:gd name="connsiteY9" fmla="*/ 277872 h 2062546"/>
            <a:gd name="connsiteX0" fmla="*/ 0 w 4603851"/>
            <a:gd name="connsiteY0" fmla="*/ 1413819 h 2062546"/>
            <a:gd name="connsiteX1" fmla="*/ 562165 w 4603851"/>
            <a:gd name="connsiteY1" fmla="*/ 700730 h 2062546"/>
            <a:gd name="connsiteX2" fmla="*/ 1142045 w 4603851"/>
            <a:gd name="connsiteY2" fmla="*/ 2060926 h 2062546"/>
            <a:gd name="connsiteX3" fmla="*/ 1746804 w 4603851"/>
            <a:gd name="connsiteY3" fmla="*/ 479840 h 2062546"/>
            <a:gd name="connsiteX4" fmla="*/ 2238690 w 4603851"/>
            <a:gd name="connsiteY4" fmla="*/ 1017328 h 2062546"/>
            <a:gd name="connsiteX5" fmla="*/ 2857479 w 4603851"/>
            <a:gd name="connsiteY5" fmla="*/ 1665092 h 2062546"/>
            <a:gd name="connsiteX6" fmla="*/ 3375067 w 4603851"/>
            <a:gd name="connsiteY6" fmla="*/ 0 h 2062546"/>
            <a:gd name="connsiteX7" fmla="*/ 3891464 w 4603851"/>
            <a:gd name="connsiteY7" fmla="*/ 1131013 h 2062546"/>
            <a:gd name="connsiteX8" fmla="*/ 3976672 w 4603851"/>
            <a:gd name="connsiteY8" fmla="*/ 1170398 h 2062546"/>
            <a:gd name="connsiteX9" fmla="*/ 4603851 w 4603851"/>
            <a:gd name="connsiteY9" fmla="*/ 277872 h 2062546"/>
            <a:gd name="connsiteX0" fmla="*/ 0 w 4603851"/>
            <a:gd name="connsiteY0" fmla="*/ 1413819 h 2062546"/>
            <a:gd name="connsiteX1" fmla="*/ 562165 w 4603851"/>
            <a:gd name="connsiteY1" fmla="*/ 700730 h 2062546"/>
            <a:gd name="connsiteX2" fmla="*/ 1142045 w 4603851"/>
            <a:gd name="connsiteY2" fmla="*/ 2060926 h 2062546"/>
            <a:gd name="connsiteX3" fmla="*/ 1746804 w 4603851"/>
            <a:gd name="connsiteY3" fmla="*/ 479840 h 2062546"/>
            <a:gd name="connsiteX4" fmla="*/ 2238690 w 4603851"/>
            <a:gd name="connsiteY4" fmla="*/ 1017328 h 2062546"/>
            <a:gd name="connsiteX5" fmla="*/ 2857479 w 4603851"/>
            <a:gd name="connsiteY5" fmla="*/ 1665092 h 2062546"/>
            <a:gd name="connsiteX6" fmla="*/ 3375067 w 4603851"/>
            <a:gd name="connsiteY6" fmla="*/ 0 h 2062546"/>
            <a:gd name="connsiteX7" fmla="*/ 3997344 w 4603851"/>
            <a:gd name="connsiteY7" fmla="*/ 1173467 h 2062546"/>
            <a:gd name="connsiteX8" fmla="*/ 3976672 w 4603851"/>
            <a:gd name="connsiteY8" fmla="*/ 1170398 h 2062546"/>
            <a:gd name="connsiteX9" fmla="*/ 4603851 w 4603851"/>
            <a:gd name="connsiteY9" fmla="*/ 277872 h 2062546"/>
            <a:gd name="connsiteX0" fmla="*/ 0 w 4603851"/>
            <a:gd name="connsiteY0" fmla="*/ 1413819 h 2062546"/>
            <a:gd name="connsiteX1" fmla="*/ 562165 w 4603851"/>
            <a:gd name="connsiteY1" fmla="*/ 700730 h 2062546"/>
            <a:gd name="connsiteX2" fmla="*/ 1142045 w 4603851"/>
            <a:gd name="connsiteY2" fmla="*/ 2060926 h 2062546"/>
            <a:gd name="connsiteX3" fmla="*/ 1746804 w 4603851"/>
            <a:gd name="connsiteY3" fmla="*/ 479840 h 2062546"/>
            <a:gd name="connsiteX4" fmla="*/ 2238690 w 4603851"/>
            <a:gd name="connsiteY4" fmla="*/ 964260 h 2062546"/>
            <a:gd name="connsiteX5" fmla="*/ 2857479 w 4603851"/>
            <a:gd name="connsiteY5" fmla="*/ 1665092 h 2062546"/>
            <a:gd name="connsiteX6" fmla="*/ 3375067 w 4603851"/>
            <a:gd name="connsiteY6" fmla="*/ 0 h 2062546"/>
            <a:gd name="connsiteX7" fmla="*/ 3997344 w 4603851"/>
            <a:gd name="connsiteY7" fmla="*/ 1173467 h 2062546"/>
            <a:gd name="connsiteX8" fmla="*/ 3976672 w 4603851"/>
            <a:gd name="connsiteY8" fmla="*/ 1170398 h 2062546"/>
            <a:gd name="connsiteX9" fmla="*/ 4603851 w 4603851"/>
            <a:gd name="connsiteY9" fmla="*/ 277872 h 2062546"/>
            <a:gd name="connsiteX0" fmla="*/ 0 w 4603851"/>
            <a:gd name="connsiteY0" fmla="*/ 1413819 h 2062546"/>
            <a:gd name="connsiteX1" fmla="*/ 562165 w 4603851"/>
            <a:gd name="connsiteY1" fmla="*/ 700730 h 2062546"/>
            <a:gd name="connsiteX2" fmla="*/ 1142045 w 4603851"/>
            <a:gd name="connsiteY2" fmla="*/ 2060926 h 2062546"/>
            <a:gd name="connsiteX3" fmla="*/ 1746804 w 4603851"/>
            <a:gd name="connsiteY3" fmla="*/ 479840 h 2062546"/>
            <a:gd name="connsiteX4" fmla="*/ 2258033 w 4603851"/>
            <a:gd name="connsiteY4" fmla="*/ 964260 h 2062546"/>
            <a:gd name="connsiteX5" fmla="*/ 2857479 w 4603851"/>
            <a:gd name="connsiteY5" fmla="*/ 1665092 h 2062546"/>
            <a:gd name="connsiteX6" fmla="*/ 3375067 w 4603851"/>
            <a:gd name="connsiteY6" fmla="*/ 0 h 2062546"/>
            <a:gd name="connsiteX7" fmla="*/ 3997344 w 4603851"/>
            <a:gd name="connsiteY7" fmla="*/ 1173467 h 2062546"/>
            <a:gd name="connsiteX8" fmla="*/ 3976672 w 4603851"/>
            <a:gd name="connsiteY8" fmla="*/ 1170398 h 2062546"/>
            <a:gd name="connsiteX9" fmla="*/ 4603851 w 4603851"/>
            <a:gd name="connsiteY9" fmla="*/ 277872 h 2062546"/>
            <a:gd name="connsiteX0" fmla="*/ 0 w 4603851"/>
            <a:gd name="connsiteY0" fmla="*/ 1413819 h 2062546"/>
            <a:gd name="connsiteX1" fmla="*/ 562165 w 4603851"/>
            <a:gd name="connsiteY1" fmla="*/ 700730 h 2062546"/>
            <a:gd name="connsiteX2" fmla="*/ 1142045 w 4603851"/>
            <a:gd name="connsiteY2" fmla="*/ 2060926 h 2062546"/>
            <a:gd name="connsiteX3" fmla="*/ 1746804 w 4603851"/>
            <a:gd name="connsiteY3" fmla="*/ 479840 h 2062546"/>
            <a:gd name="connsiteX4" fmla="*/ 2258033 w 4603851"/>
            <a:gd name="connsiteY4" fmla="*/ 964260 h 2062546"/>
            <a:gd name="connsiteX5" fmla="*/ 2857479 w 4603851"/>
            <a:gd name="connsiteY5" fmla="*/ 1665092 h 2062546"/>
            <a:gd name="connsiteX6" fmla="*/ 3375067 w 4603851"/>
            <a:gd name="connsiteY6" fmla="*/ 0 h 2062546"/>
            <a:gd name="connsiteX7" fmla="*/ 3997344 w 4603851"/>
            <a:gd name="connsiteY7" fmla="*/ 1173467 h 2062546"/>
            <a:gd name="connsiteX8" fmla="*/ 3976672 w 4603851"/>
            <a:gd name="connsiteY8" fmla="*/ 1170398 h 2062546"/>
            <a:gd name="connsiteX9" fmla="*/ 4603851 w 4603851"/>
            <a:gd name="connsiteY9" fmla="*/ 277872 h 2062546"/>
            <a:gd name="connsiteX0" fmla="*/ 0 w 4571612"/>
            <a:gd name="connsiteY0" fmla="*/ 1413819 h 2062546"/>
            <a:gd name="connsiteX1" fmla="*/ 562165 w 4571612"/>
            <a:gd name="connsiteY1" fmla="*/ 700730 h 2062546"/>
            <a:gd name="connsiteX2" fmla="*/ 1142045 w 4571612"/>
            <a:gd name="connsiteY2" fmla="*/ 2060926 h 2062546"/>
            <a:gd name="connsiteX3" fmla="*/ 1746804 w 4571612"/>
            <a:gd name="connsiteY3" fmla="*/ 479840 h 2062546"/>
            <a:gd name="connsiteX4" fmla="*/ 2258033 w 4571612"/>
            <a:gd name="connsiteY4" fmla="*/ 964260 h 2062546"/>
            <a:gd name="connsiteX5" fmla="*/ 2857479 w 4571612"/>
            <a:gd name="connsiteY5" fmla="*/ 1665092 h 2062546"/>
            <a:gd name="connsiteX6" fmla="*/ 3375067 w 4571612"/>
            <a:gd name="connsiteY6" fmla="*/ 0 h 2062546"/>
            <a:gd name="connsiteX7" fmla="*/ 3997344 w 4571612"/>
            <a:gd name="connsiteY7" fmla="*/ 1173467 h 2062546"/>
            <a:gd name="connsiteX8" fmla="*/ 3976672 w 4571612"/>
            <a:gd name="connsiteY8" fmla="*/ 1170398 h 2062546"/>
            <a:gd name="connsiteX9" fmla="*/ 4571612 w 4571612"/>
            <a:gd name="connsiteY9" fmla="*/ 277872 h 2062546"/>
            <a:gd name="connsiteX0" fmla="*/ 0 w 4571612"/>
            <a:gd name="connsiteY0" fmla="*/ 1413819 h 2062546"/>
            <a:gd name="connsiteX1" fmla="*/ 562165 w 4571612"/>
            <a:gd name="connsiteY1" fmla="*/ 700730 h 2062546"/>
            <a:gd name="connsiteX2" fmla="*/ 1142045 w 4571612"/>
            <a:gd name="connsiteY2" fmla="*/ 2060926 h 2062546"/>
            <a:gd name="connsiteX3" fmla="*/ 1746804 w 4571612"/>
            <a:gd name="connsiteY3" fmla="*/ 479840 h 2062546"/>
            <a:gd name="connsiteX4" fmla="*/ 2258033 w 4571612"/>
            <a:gd name="connsiteY4" fmla="*/ 964260 h 2062546"/>
            <a:gd name="connsiteX5" fmla="*/ 2857479 w 4571612"/>
            <a:gd name="connsiteY5" fmla="*/ 1665092 h 2062546"/>
            <a:gd name="connsiteX6" fmla="*/ 3375067 w 4571612"/>
            <a:gd name="connsiteY6" fmla="*/ 0 h 2062546"/>
            <a:gd name="connsiteX7" fmla="*/ 3997344 w 4571612"/>
            <a:gd name="connsiteY7" fmla="*/ 1173467 h 2062546"/>
            <a:gd name="connsiteX8" fmla="*/ 3976672 w 4571612"/>
            <a:gd name="connsiteY8" fmla="*/ 1209328 h 2062546"/>
            <a:gd name="connsiteX9" fmla="*/ 4571612 w 4571612"/>
            <a:gd name="connsiteY9" fmla="*/ 277872 h 2062546"/>
            <a:gd name="connsiteX0" fmla="*/ 0 w 4571612"/>
            <a:gd name="connsiteY0" fmla="*/ 1413819 h 2062546"/>
            <a:gd name="connsiteX1" fmla="*/ 575060 w 4571612"/>
            <a:gd name="connsiteY1" fmla="*/ 1550701 h 2062546"/>
            <a:gd name="connsiteX2" fmla="*/ 1142045 w 4571612"/>
            <a:gd name="connsiteY2" fmla="*/ 2060926 h 2062546"/>
            <a:gd name="connsiteX3" fmla="*/ 1746804 w 4571612"/>
            <a:gd name="connsiteY3" fmla="*/ 479840 h 2062546"/>
            <a:gd name="connsiteX4" fmla="*/ 2258033 w 4571612"/>
            <a:gd name="connsiteY4" fmla="*/ 964260 h 2062546"/>
            <a:gd name="connsiteX5" fmla="*/ 2857479 w 4571612"/>
            <a:gd name="connsiteY5" fmla="*/ 1665092 h 2062546"/>
            <a:gd name="connsiteX6" fmla="*/ 3375067 w 4571612"/>
            <a:gd name="connsiteY6" fmla="*/ 0 h 2062546"/>
            <a:gd name="connsiteX7" fmla="*/ 3997344 w 4571612"/>
            <a:gd name="connsiteY7" fmla="*/ 1173467 h 2062546"/>
            <a:gd name="connsiteX8" fmla="*/ 3976672 w 4571612"/>
            <a:gd name="connsiteY8" fmla="*/ 1209328 h 2062546"/>
            <a:gd name="connsiteX9" fmla="*/ 4571612 w 4571612"/>
            <a:gd name="connsiteY9" fmla="*/ 277872 h 2062546"/>
            <a:gd name="connsiteX0" fmla="*/ 0 w 4571612"/>
            <a:gd name="connsiteY0" fmla="*/ 1413819 h 2062546"/>
            <a:gd name="connsiteX1" fmla="*/ 587956 w 4571612"/>
            <a:gd name="connsiteY1" fmla="*/ 752637 h 2062546"/>
            <a:gd name="connsiteX2" fmla="*/ 1142045 w 4571612"/>
            <a:gd name="connsiteY2" fmla="*/ 2060926 h 2062546"/>
            <a:gd name="connsiteX3" fmla="*/ 1746804 w 4571612"/>
            <a:gd name="connsiteY3" fmla="*/ 479840 h 2062546"/>
            <a:gd name="connsiteX4" fmla="*/ 2258033 w 4571612"/>
            <a:gd name="connsiteY4" fmla="*/ 964260 h 2062546"/>
            <a:gd name="connsiteX5" fmla="*/ 2857479 w 4571612"/>
            <a:gd name="connsiteY5" fmla="*/ 1665092 h 2062546"/>
            <a:gd name="connsiteX6" fmla="*/ 3375067 w 4571612"/>
            <a:gd name="connsiteY6" fmla="*/ 0 h 2062546"/>
            <a:gd name="connsiteX7" fmla="*/ 3997344 w 4571612"/>
            <a:gd name="connsiteY7" fmla="*/ 1173467 h 2062546"/>
            <a:gd name="connsiteX8" fmla="*/ 3976672 w 4571612"/>
            <a:gd name="connsiteY8" fmla="*/ 1209328 h 2062546"/>
            <a:gd name="connsiteX9" fmla="*/ 4571612 w 4571612"/>
            <a:gd name="connsiteY9" fmla="*/ 277872 h 2062546"/>
            <a:gd name="connsiteX0" fmla="*/ 0 w 4571612"/>
            <a:gd name="connsiteY0" fmla="*/ 1413819 h 2062546"/>
            <a:gd name="connsiteX1" fmla="*/ 568613 w 4571612"/>
            <a:gd name="connsiteY1" fmla="*/ 726683 h 2062546"/>
            <a:gd name="connsiteX2" fmla="*/ 1142045 w 4571612"/>
            <a:gd name="connsiteY2" fmla="*/ 2060926 h 2062546"/>
            <a:gd name="connsiteX3" fmla="*/ 1746804 w 4571612"/>
            <a:gd name="connsiteY3" fmla="*/ 479840 h 2062546"/>
            <a:gd name="connsiteX4" fmla="*/ 2258033 w 4571612"/>
            <a:gd name="connsiteY4" fmla="*/ 964260 h 2062546"/>
            <a:gd name="connsiteX5" fmla="*/ 2857479 w 4571612"/>
            <a:gd name="connsiteY5" fmla="*/ 1665092 h 2062546"/>
            <a:gd name="connsiteX6" fmla="*/ 3375067 w 4571612"/>
            <a:gd name="connsiteY6" fmla="*/ 0 h 2062546"/>
            <a:gd name="connsiteX7" fmla="*/ 3997344 w 4571612"/>
            <a:gd name="connsiteY7" fmla="*/ 1173467 h 2062546"/>
            <a:gd name="connsiteX8" fmla="*/ 3976672 w 4571612"/>
            <a:gd name="connsiteY8" fmla="*/ 1209328 h 2062546"/>
            <a:gd name="connsiteX9" fmla="*/ 4571612 w 4571612"/>
            <a:gd name="connsiteY9" fmla="*/ 277872 h 2062546"/>
            <a:gd name="csX0" fmla="*/ 0 w 4524872"/>
            <a:gd name="csY0" fmla="*/ 713079 h 2062546"/>
            <a:gd name="csX1" fmla="*/ 521873 w 4524872"/>
            <a:gd name="csY1" fmla="*/ 726683 h 2062546"/>
            <a:gd name="csX2" fmla="*/ 1095305 w 4524872"/>
            <a:gd name="csY2" fmla="*/ 2060926 h 2062546"/>
            <a:gd name="csX3" fmla="*/ 1700064 w 4524872"/>
            <a:gd name="csY3" fmla="*/ 479840 h 2062546"/>
            <a:gd name="csX4" fmla="*/ 2211293 w 4524872"/>
            <a:gd name="csY4" fmla="*/ 964260 h 2062546"/>
            <a:gd name="csX5" fmla="*/ 2810739 w 4524872"/>
            <a:gd name="csY5" fmla="*/ 1665092 h 2062546"/>
            <a:gd name="csX6" fmla="*/ 3328327 w 4524872"/>
            <a:gd name="csY6" fmla="*/ 0 h 2062546"/>
            <a:gd name="csX7" fmla="*/ 3950604 w 4524872"/>
            <a:gd name="csY7" fmla="*/ 1173467 h 2062546"/>
            <a:gd name="csX8" fmla="*/ 3929932 w 4524872"/>
            <a:gd name="csY8" fmla="*/ 1209328 h 2062546"/>
            <a:gd name="csX9" fmla="*/ 4524872 w 4524872"/>
            <a:gd name="csY9" fmla="*/ 277872 h 2062546"/>
            <a:gd name="csX0" fmla="*/ 0 w 4524872"/>
            <a:gd name="csY0" fmla="*/ 713079 h 2346170"/>
            <a:gd name="csX1" fmla="*/ 537453 w 4524872"/>
            <a:gd name="csY1" fmla="*/ 2346170 h 2346170"/>
            <a:gd name="csX2" fmla="*/ 1095305 w 4524872"/>
            <a:gd name="csY2" fmla="*/ 2060926 h 2346170"/>
            <a:gd name="csX3" fmla="*/ 1700064 w 4524872"/>
            <a:gd name="csY3" fmla="*/ 479840 h 2346170"/>
            <a:gd name="csX4" fmla="*/ 2211293 w 4524872"/>
            <a:gd name="csY4" fmla="*/ 964260 h 2346170"/>
            <a:gd name="csX5" fmla="*/ 2810739 w 4524872"/>
            <a:gd name="csY5" fmla="*/ 1665092 h 2346170"/>
            <a:gd name="csX6" fmla="*/ 3328327 w 4524872"/>
            <a:gd name="csY6" fmla="*/ 0 h 2346170"/>
            <a:gd name="csX7" fmla="*/ 3950604 w 4524872"/>
            <a:gd name="csY7" fmla="*/ 1173467 h 2346170"/>
            <a:gd name="csX8" fmla="*/ 3929932 w 4524872"/>
            <a:gd name="csY8" fmla="*/ 1209328 h 2346170"/>
            <a:gd name="csX9" fmla="*/ 4524872 w 4524872"/>
            <a:gd name="csY9" fmla="*/ 277872 h 234617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Lst>
          <a:rect l="l" t="t" r="r" b="b"/>
          <a:pathLst>
            <a:path w="4524872" h="2346170">
              <a:moveTo>
                <a:pt x="0" y="713079"/>
              </a:moveTo>
              <a:cubicBezTo>
                <a:pt x="52120" y="715962"/>
                <a:pt x="546330" y="2330998"/>
                <a:pt x="537453" y="2346170"/>
              </a:cubicBezTo>
              <a:cubicBezTo>
                <a:pt x="529603" y="2295395"/>
                <a:pt x="1093998" y="2043340"/>
                <a:pt x="1095305" y="2060926"/>
              </a:cubicBezTo>
              <a:cubicBezTo>
                <a:pt x="1096946" y="2121526"/>
                <a:pt x="1700725" y="462154"/>
                <a:pt x="1700064" y="479840"/>
              </a:cubicBezTo>
              <a:cubicBezTo>
                <a:pt x="1696289" y="464482"/>
                <a:pt x="2214451" y="967713"/>
                <a:pt x="2211293" y="964260"/>
              </a:cubicBezTo>
              <a:cubicBezTo>
                <a:pt x="2236413" y="977641"/>
                <a:pt x="2795370" y="1677493"/>
                <a:pt x="2810739" y="1665092"/>
              </a:cubicBezTo>
              <a:cubicBezTo>
                <a:pt x="2785140" y="1664916"/>
                <a:pt x="3349205" y="3584"/>
                <a:pt x="3328327" y="0"/>
              </a:cubicBezTo>
              <a:cubicBezTo>
                <a:pt x="3328226" y="3268"/>
                <a:pt x="3963508" y="1182963"/>
                <a:pt x="3950604" y="1173467"/>
              </a:cubicBezTo>
              <a:cubicBezTo>
                <a:pt x="3946775" y="1194448"/>
                <a:pt x="3933761" y="1198051"/>
                <a:pt x="3929932" y="1209328"/>
              </a:cubicBezTo>
              <a:cubicBezTo>
                <a:pt x="3927685" y="1238995"/>
                <a:pt x="4510297" y="244505"/>
                <a:pt x="4524872" y="277872"/>
              </a:cubicBezTo>
            </a:path>
          </a:pathLst>
        </a:custGeom>
        <a:noFill/>
        <a:ln w="19050">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chemeClr val="tx1">
                <a:lumMod val="65000"/>
                <a:lumOff val="35000"/>
              </a:schemeClr>
            </a:solidFill>
          </a:endParaRPr>
        </a:p>
      </xdr:txBody>
    </xdr:sp>
    <xdr:clientData/>
  </xdr:twoCellAnchor>
  <xdr:twoCellAnchor>
    <xdr:from>
      <xdr:col>2</xdr:col>
      <xdr:colOff>316389</xdr:colOff>
      <xdr:row>16</xdr:row>
      <xdr:rowOff>118258</xdr:rowOff>
    </xdr:from>
    <xdr:to>
      <xdr:col>3</xdr:col>
      <xdr:colOff>355600</xdr:colOff>
      <xdr:row>18</xdr:row>
      <xdr:rowOff>203200</xdr:rowOff>
    </xdr:to>
    <xdr:cxnSp macro="">
      <xdr:nvCxnSpPr>
        <xdr:cNvPr id="10" name="直線コネクタ 9">
          <a:extLst>
            <a:ext uri="{FF2B5EF4-FFF2-40B4-BE49-F238E27FC236}">
              <a16:creationId xmlns:a16="http://schemas.microsoft.com/office/drawing/2014/main" id="{00000000-0008-0000-1800-00000A000000}"/>
            </a:ext>
          </a:extLst>
        </xdr:cNvPr>
        <xdr:cNvCxnSpPr>
          <a:stCxn id="4" idx="0"/>
        </xdr:cNvCxnSpPr>
      </xdr:nvCxnSpPr>
      <xdr:spPr>
        <a:xfrm>
          <a:off x="1124109" y="3547258"/>
          <a:ext cx="587851" cy="542142"/>
        </a:xfrm>
        <a:prstGeom prst="line">
          <a:avLst/>
        </a:prstGeom>
        <a:ln>
          <a:noFill/>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239184</xdr:colOff>
      <xdr:row>16</xdr:row>
      <xdr:rowOff>26663</xdr:rowOff>
    </xdr:from>
    <xdr:to>
      <xdr:col>2</xdr:col>
      <xdr:colOff>387350</xdr:colOff>
      <xdr:row>16</xdr:row>
      <xdr:rowOff>170603</xdr:rowOff>
    </xdr:to>
    <xdr:sp macro="" textlink="">
      <xdr:nvSpPr>
        <xdr:cNvPr id="70" name="円/楕円 69">
          <a:extLst>
            <a:ext uri="{FF2B5EF4-FFF2-40B4-BE49-F238E27FC236}">
              <a16:creationId xmlns:a16="http://schemas.microsoft.com/office/drawing/2014/main" id="{00000000-0008-0000-1800-000046000000}"/>
            </a:ext>
          </a:extLst>
        </xdr:cNvPr>
        <xdr:cNvSpPr/>
      </xdr:nvSpPr>
      <xdr:spPr>
        <a:xfrm flipV="1">
          <a:off x="1046904" y="3455663"/>
          <a:ext cx="148166" cy="143940"/>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148591</xdr:colOff>
      <xdr:row>23</xdr:row>
      <xdr:rowOff>56304</xdr:rowOff>
    </xdr:from>
    <xdr:to>
      <xdr:col>3</xdr:col>
      <xdr:colOff>296757</xdr:colOff>
      <xdr:row>23</xdr:row>
      <xdr:rowOff>193887</xdr:rowOff>
    </xdr:to>
    <xdr:sp macro="" textlink="">
      <xdr:nvSpPr>
        <xdr:cNvPr id="15" name="円/楕円 14">
          <a:extLst>
            <a:ext uri="{FF2B5EF4-FFF2-40B4-BE49-F238E27FC236}">
              <a16:creationId xmlns:a16="http://schemas.microsoft.com/office/drawing/2014/main" id="{00000000-0008-0000-1800-00000F000000}"/>
            </a:ext>
          </a:extLst>
        </xdr:cNvPr>
        <xdr:cNvSpPr/>
      </xdr:nvSpPr>
      <xdr:spPr>
        <a:xfrm>
          <a:off x="1504951" y="5085504"/>
          <a:ext cx="148166" cy="137583"/>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C78FF1"/>
            </a:solidFill>
          </a:endParaRPr>
        </a:p>
      </xdr:txBody>
    </xdr:sp>
    <xdr:clientData/>
  </xdr:twoCellAnchor>
  <xdr:twoCellAnchor>
    <xdr:from>
      <xdr:col>4</xdr:col>
      <xdr:colOff>228345</xdr:colOff>
      <xdr:row>22</xdr:row>
      <xdr:rowOff>60174</xdr:rowOff>
    </xdr:from>
    <xdr:to>
      <xdr:col>4</xdr:col>
      <xdr:colOff>371220</xdr:colOff>
      <xdr:row>22</xdr:row>
      <xdr:rowOff>210987</xdr:rowOff>
    </xdr:to>
    <xdr:sp macro="" textlink="">
      <xdr:nvSpPr>
        <xdr:cNvPr id="16" name="円/楕円 15">
          <a:extLst>
            <a:ext uri="{FF2B5EF4-FFF2-40B4-BE49-F238E27FC236}">
              <a16:creationId xmlns:a16="http://schemas.microsoft.com/office/drawing/2014/main" id="{00000000-0008-0000-1800-000010000000}"/>
            </a:ext>
          </a:extLst>
        </xdr:cNvPr>
        <xdr:cNvSpPr/>
      </xdr:nvSpPr>
      <xdr:spPr>
        <a:xfrm>
          <a:off x="2175678" y="4928507"/>
          <a:ext cx="142875" cy="150813"/>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234835</xdr:colOff>
      <xdr:row>15</xdr:row>
      <xdr:rowOff>13536</xdr:rowOff>
    </xdr:from>
    <xdr:to>
      <xdr:col>5</xdr:col>
      <xdr:colOff>374233</xdr:colOff>
      <xdr:row>15</xdr:row>
      <xdr:rowOff>161333</xdr:rowOff>
    </xdr:to>
    <xdr:sp macro="" textlink="">
      <xdr:nvSpPr>
        <xdr:cNvPr id="17" name="円/楕円 16">
          <a:extLst>
            <a:ext uri="{FF2B5EF4-FFF2-40B4-BE49-F238E27FC236}">
              <a16:creationId xmlns:a16="http://schemas.microsoft.com/office/drawing/2014/main" id="{00000000-0008-0000-1800-000011000000}"/>
            </a:ext>
          </a:extLst>
        </xdr:cNvPr>
        <xdr:cNvSpPr/>
      </xdr:nvSpPr>
      <xdr:spPr>
        <a:xfrm>
          <a:off x="2743085" y="3252036"/>
          <a:ext cx="139398" cy="147797"/>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221749</xdr:colOff>
      <xdr:row>17</xdr:row>
      <xdr:rowOff>81228</xdr:rowOff>
    </xdr:from>
    <xdr:to>
      <xdr:col>6</xdr:col>
      <xdr:colOff>364624</xdr:colOff>
      <xdr:row>17</xdr:row>
      <xdr:rowOff>232041</xdr:rowOff>
    </xdr:to>
    <xdr:sp macro="" textlink="">
      <xdr:nvSpPr>
        <xdr:cNvPr id="18" name="円/楕円 17">
          <a:extLst>
            <a:ext uri="{FF2B5EF4-FFF2-40B4-BE49-F238E27FC236}">
              <a16:creationId xmlns:a16="http://schemas.microsoft.com/office/drawing/2014/main" id="{00000000-0008-0000-1800-000012000000}"/>
            </a:ext>
          </a:extLst>
        </xdr:cNvPr>
        <xdr:cNvSpPr/>
      </xdr:nvSpPr>
      <xdr:spPr>
        <a:xfrm>
          <a:off x="3290916" y="3785395"/>
          <a:ext cx="142875" cy="150813"/>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273361</xdr:colOff>
      <xdr:row>20</xdr:row>
      <xdr:rowOff>93634</xdr:rowOff>
    </xdr:from>
    <xdr:to>
      <xdr:col>7</xdr:col>
      <xdr:colOff>416236</xdr:colOff>
      <xdr:row>21</xdr:row>
      <xdr:rowOff>12312</xdr:rowOff>
    </xdr:to>
    <xdr:sp macro="" textlink="">
      <xdr:nvSpPr>
        <xdr:cNvPr id="19" name="円/楕円 18">
          <a:extLst>
            <a:ext uri="{FF2B5EF4-FFF2-40B4-BE49-F238E27FC236}">
              <a16:creationId xmlns:a16="http://schemas.microsoft.com/office/drawing/2014/main" id="{00000000-0008-0000-1800-000013000000}"/>
            </a:ext>
          </a:extLst>
        </xdr:cNvPr>
        <xdr:cNvSpPr/>
      </xdr:nvSpPr>
      <xdr:spPr>
        <a:xfrm>
          <a:off x="3903444" y="4496301"/>
          <a:ext cx="142875" cy="151511"/>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227820</xdr:colOff>
      <xdr:row>13</xdr:row>
      <xdr:rowOff>22635</xdr:rowOff>
    </xdr:from>
    <xdr:to>
      <xdr:col>8</xdr:col>
      <xdr:colOff>370695</xdr:colOff>
      <xdr:row>13</xdr:row>
      <xdr:rowOff>173448</xdr:rowOff>
    </xdr:to>
    <xdr:sp macro="" textlink="">
      <xdr:nvSpPr>
        <xdr:cNvPr id="20" name="円/楕円 19">
          <a:extLst>
            <a:ext uri="{FF2B5EF4-FFF2-40B4-BE49-F238E27FC236}">
              <a16:creationId xmlns:a16="http://schemas.microsoft.com/office/drawing/2014/main" id="{00000000-0008-0000-1800-000014000000}"/>
            </a:ext>
          </a:extLst>
        </xdr:cNvPr>
        <xdr:cNvSpPr/>
      </xdr:nvSpPr>
      <xdr:spPr>
        <a:xfrm>
          <a:off x="4418820" y="2795468"/>
          <a:ext cx="142875" cy="150813"/>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269235</xdr:colOff>
      <xdr:row>18</xdr:row>
      <xdr:rowOff>51034</xdr:rowOff>
    </xdr:from>
    <xdr:to>
      <xdr:col>9</xdr:col>
      <xdr:colOff>412110</xdr:colOff>
      <xdr:row>18</xdr:row>
      <xdr:rowOff>201847</xdr:rowOff>
    </xdr:to>
    <xdr:sp macro="" textlink="">
      <xdr:nvSpPr>
        <xdr:cNvPr id="21" name="円/楕円 20">
          <a:extLst>
            <a:ext uri="{FF2B5EF4-FFF2-40B4-BE49-F238E27FC236}">
              <a16:creationId xmlns:a16="http://schemas.microsoft.com/office/drawing/2014/main" id="{00000000-0008-0000-1800-000015000000}"/>
            </a:ext>
          </a:extLst>
        </xdr:cNvPr>
        <xdr:cNvSpPr/>
      </xdr:nvSpPr>
      <xdr:spPr>
        <a:xfrm>
          <a:off x="4949185" y="3905484"/>
          <a:ext cx="142875" cy="150813"/>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ｖ</a:t>
          </a:r>
        </a:p>
      </xdr:txBody>
    </xdr:sp>
    <xdr:clientData/>
  </xdr:twoCellAnchor>
  <xdr:twoCellAnchor>
    <xdr:from>
      <xdr:col>10</xdr:col>
      <xdr:colOff>272932</xdr:colOff>
      <xdr:row>14</xdr:row>
      <xdr:rowOff>53902</xdr:rowOff>
    </xdr:from>
    <xdr:to>
      <xdr:col>10</xdr:col>
      <xdr:colOff>412406</xdr:colOff>
      <xdr:row>14</xdr:row>
      <xdr:rowOff>181849</xdr:rowOff>
    </xdr:to>
    <xdr:sp macro="" textlink="">
      <xdr:nvSpPr>
        <xdr:cNvPr id="23" name="円/楕円 22">
          <a:extLst>
            <a:ext uri="{FF2B5EF4-FFF2-40B4-BE49-F238E27FC236}">
              <a16:creationId xmlns:a16="http://schemas.microsoft.com/office/drawing/2014/main" id="{00000000-0008-0000-1800-000017000000}"/>
            </a:ext>
          </a:extLst>
        </xdr:cNvPr>
        <xdr:cNvSpPr/>
      </xdr:nvSpPr>
      <xdr:spPr>
        <a:xfrm flipV="1">
          <a:off x="5505332" y="2993952"/>
          <a:ext cx="139474" cy="127947"/>
        </a:xfrm>
        <a:prstGeom prst="ellipse">
          <a:avLst/>
        </a:prstGeom>
        <a:solidFill>
          <a:srgbClr val="E2509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17</xdr:col>
          <xdr:colOff>38100</xdr:colOff>
          <xdr:row>8</xdr:row>
          <xdr:rowOff>57150</xdr:rowOff>
        </xdr:from>
        <xdr:to>
          <xdr:col>18</xdr:col>
          <xdr:colOff>390525</xdr:colOff>
          <xdr:row>10</xdr:row>
          <xdr:rowOff>161925</xdr:rowOff>
        </xdr:to>
        <xdr:sp macro="" textlink="">
          <xdr:nvSpPr>
            <xdr:cNvPr id="67594" name="新規入力" hidden="1">
              <a:extLst>
                <a:ext uri="{63B3BB69-23CF-44E3-9099-C40C66FF867C}">
                  <a14:compatExt spid="_x0000_s67594"/>
                </a:ext>
                <a:ext uri="{FF2B5EF4-FFF2-40B4-BE49-F238E27FC236}">
                  <a16:creationId xmlns:a16="http://schemas.microsoft.com/office/drawing/2014/main" id="{00000000-0008-0000-1900-00000A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12</xdr:col>
      <xdr:colOff>472423</xdr:colOff>
      <xdr:row>0</xdr:row>
      <xdr:rowOff>170703</xdr:rowOff>
    </xdr:to>
    <xdr:pic>
      <xdr:nvPicPr>
        <xdr:cNvPr id="5" name="図 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1"/>
        <a:stretch>
          <a:fillRect/>
        </a:stretch>
      </xdr:blipFill>
      <xdr:spPr>
        <a:xfrm>
          <a:off x="0" y="0"/>
          <a:ext cx="6992718" cy="17070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7</xdr:col>
      <xdr:colOff>30481</xdr:colOff>
      <xdr:row>19</xdr:row>
      <xdr:rowOff>75278</xdr:rowOff>
    </xdr:from>
    <xdr:to>
      <xdr:col>8</xdr:col>
      <xdr:colOff>91441</xdr:colOff>
      <xdr:row>23</xdr:row>
      <xdr:rowOff>61935</xdr:rowOff>
    </xdr:to>
    <xdr:pic>
      <xdr:nvPicPr>
        <xdr:cNvPr id="6" name="図 5">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37661" y="4380578"/>
          <a:ext cx="670560" cy="992497"/>
        </a:xfrm>
        <a:prstGeom prst="rect">
          <a:avLst/>
        </a:prstGeom>
      </xdr:spPr>
    </xdr:pic>
    <xdr:clientData/>
  </xdr:twoCellAnchor>
  <xdr:twoCellAnchor editAs="oneCell">
    <xdr:from>
      <xdr:col>5</xdr:col>
      <xdr:colOff>332188</xdr:colOff>
      <xdr:row>22</xdr:row>
      <xdr:rowOff>45720</xdr:rowOff>
    </xdr:from>
    <xdr:to>
      <xdr:col>6</xdr:col>
      <xdr:colOff>403859</xdr:colOff>
      <xdr:row>26</xdr:row>
      <xdr:rowOff>48231</xdr:rowOff>
    </xdr:to>
    <xdr:pic>
      <xdr:nvPicPr>
        <xdr:cNvPr id="8" name="図 7">
          <a:extLst>
            <a:ext uri="{FF2B5EF4-FFF2-40B4-BE49-F238E27FC236}">
              <a16:creationId xmlns:a16="http://schemas.microsoft.com/office/drawing/2014/main" id="{00000000-0008-0000-19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20168" y="5105400"/>
          <a:ext cx="681271" cy="1008351"/>
        </a:xfrm>
        <a:prstGeom prst="rect">
          <a:avLst/>
        </a:prstGeom>
      </xdr:spPr>
    </xdr:pic>
    <xdr:clientData/>
  </xdr:twoCellAnchor>
  <xdr:twoCellAnchor editAs="oneCell">
    <xdr:from>
      <xdr:col>8</xdr:col>
      <xdr:colOff>135516</xdr:colOff>
      <xdr:row>14</xdr:row>
      <xdr:rowOff>243840</xdr:rowOff>
    </xdr:from>
    <xdr:to>
      <xdr:col>9</xdr:col>
      <xdr:colOff>185935</xdr:colOff>
      <xdr:row>18</xdr:row>
      <xdr:rowOff>214895</xdr:rowOff>
    </xdr:to>
    <xdr:pic>
      <xdr:nvPicPr>
        <xdr:cNvPr id="9" name="図 8">
          <a:extLst>
            <a:ext uri="{FF2B5EF4-FFF2-40B4-BE49-F238E27FC236}">
              <a16:creationId xmlns:a16="http://schemas.microsoft.com/office/drawing/2014/main" id="{00000000-0008-0000-19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852296" y="3291840"/>
          <a:ext cx="660019" cy="976895"/>
        </a:xfrm>
        <a:prstGeom prst="rect">
          <a:avLst/>
        </a:prstGeom>
      </xdr:spPr>
    </xdr:pic>
    <xdr:clientData/>
  </xdr:twoCellAnchor>
  <xdr:twoCellAnchor editAs="oneCell">
    <xdr:from>
      <xdr:col>0</xdr:col>
      <xdr:colOff>0</xdr:colOff>
      <xdr:row>0</xdr:row>
      <xdr:rowOff>0</xdr:rowOff>
    </xdr:from>
    <xdr:to>
      <xdr:col>10</xdr:col>
      <xdr:colOff>325218</xdr:colOff>
      <xdr:row>0</xdr:row>
      <xdr:rowOff>170703</xdr:rowOff>
    </xdr:to>
    <xdr:pic>
      <xdr:nvPicPr>
        <xdr:cNvPr id="2" name="図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4"/>
        <a:stretch>
          <a:fillRect/>
        </a:stretch>
      </xdr:blipFill>
      <xdr:spPr>
        <a:xfrm>
          <a:off x="0" y="0"/>
          <a:ext cx="6992718" cy="170703"/>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30481</xdr:colOff>
      <xdr:row>19</xdr:row>
      <xdr:rowOff>75278</xdr:rowOff>
    </xdr:from>
    <xdr:to>
      <xdr:col>8</xdr:col>
      <xdr:colOff>91441</xdr:colOff>
      <xdr:row>23</xdr:row>
      <xdr:rowOff>61935</xdr:rowOff>
    </xdr:to>
    <xdr:pic>
      <xdr:nvPicPr>
        <xdr:cNvPr id="4" name="図 3">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40581" y="4390103"/>
          <a:ext cx="746760" cy="977257"/>
        </a:xfrm>
        <a:prstGeom prst="rect">
          <a:avLst/>
        </a:prstGeom>
      </xdr:spPr>
    </xdr:pic>
    <xdr:clientData/>
  </xdr:twoCellAnchor>
  <xdr:twoCellAnchor editAs="oneCell">
    <xdr:from>
      <xdr:col>5</xdr:col>
      <xdr:colOff>332188</xdr:colOff>
      <xdr:row>22</xdr:row>
      <xdr:rowOff>45720</xdr:rowOff>
    </xdr:from>
    <xdr:to>
      <xdr:col>6</xdr:col>
      <xdr:colOff>403859</xdr:colOff>
      <xdr:row>26</xdr:row>
      <xdr:rowOff>48231</xdr:rowOff>
    </xdr:to>
    <xdr:pic>
      <xdr:nvPicPr>
        <xdr:cNvPr id="5" name="図 4">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70688" y="5103495"/>
          <a:ext cx="757471" cy="993111"/>
        </a:xfrm>
        <a:prstGeom prst="rect">
          <a:avLst/>
        </a:prstGeom>
      </xdr:spPr>
    </xdr:pic>
    <xdr:clientData/>
  </xdr:twoCellAnchor>
  <xdr:twoCellAnchor editAs="oneCell">
    <xdr:from>
      <xdr:col>8</xdr:col>
      <xdr:colOff>135516</xdr:colOff>
      <xdr:row>14</xdr:row>
      <xdr:rowOff>243840</xdr:rowOff>
    </xdr:from>
    <xdr:to>
      <xdr:col>9</xdr:col>
      <xdr:colOff>185935</xdr:colOff>
      <xdr:row>18</xdr:row>
      <xdr:rowOff>214895</xdr:rowOff>
    </xdr:to>
    <xdr:pic>
      <xdr:nvPicPr>
        <xdr:cNvPr id="6" name="図 5">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431416" y="3320415"/>
          <a:ext cx="736219" cy="96165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180975</xdr:colOff>
          <xdr:row>12</xdr:row>
          <xdr:rowOff>57150</xdr:rowOff>
        </xdr:from>
        <xdr:to>
          <xdr:col>12</xdr:col>
          <xdr:colOff>0</xdr:colOff>
          <xdr:row>13</xdr:row>
          <xdr:rowOff>209550</xdr:rowOff>
        </xdr:to>
        <xdr:sp macro="" textlink="">
          <xdr:nvSpPr>
            <xdr:cNvPr id="101378" name="botann" hidden="1">
              <a:extLst>
                <a:ext uri="{63B3BB69-23CF-44E3-9099-C40C66FF867C}">
                  <a14:compatExt spid="_x0000_s101378"/>
                </a:ext>
                <a:ext uri="{FF2B5EF4-FFF2-40B4-BE49-F238E27FC236}">
                  <a16:creationId xmlns:a16="http://schemas.microsoft.com/office/drawing/2014/main" id="{00000000-0008-0000-1B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10</xdr:col>
      <xdr:colOff>325218</xdr:colOff>
      <xdr:row>0</xdr:row>
      <xdr:rowOff>170703</xdr:rowOff>
    </xdr:to>
    <xdr:pic>
      <xdr:nvPicPr>
        <xdr:cNvPr id="7" name="図 6">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4"/>
        <a:stretch>
          <a:fillRect/>
        </a:stretch>
      </xdr:blipFill>
      <xdr:spPr>
        <a:xfrm>
          <a:off x="0" y="0"/>
          <a:ext cx="6992718" cy="170703"/>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image" Target="../media/image15.emf"/><Relationship Id="rId4" Type="http://schemas.openxmlformats.org/officeDocument/2006/relationships/control" Target="../activeX/activeX2.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image" Target="../media/image19.emf"/><Relationship Id="rId4" Type="http://schemas.openxmlformats.org/officeDocument/2006/relationships/control" Target="../activeX/activeX3.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66"/>
  </sheetPr>
  <dimension ref="A15:AA42"/>
  <sheetViews>
    <sheetView tabSelected="1" zoomScale="110" zoomScaleNormal="110" workbookViewId="0">
      <selection activeCell="C18" sqref="C18:H18"/>
    </sheetView>
  </sheetViews>
  <sheetFormatPr defaultRowHeight="13.5"/>
  <cols>
    <col min="1" max="1" width="7.75" customWidth="1"/>
    <col min="2" max="2" width="10.75" customWidth="1"/>
    <col min="3" max="6" width="3.75" customWidth="1"/>
    <col min="7" max="7" width="4.125" customWidth="1"/>
    <col min="8" max="9" width="3.75" customWidth="1"/>
    <col min="10" max="10" width="4.125" customWidth="1"/>
    <col min="11" max="12" width="3.75" customWidth="1"/>
    <col min="13" max="13" width="4.125" customWidth="1"/>
    <col min="14" max="14" width="5.25" customWidth="1"/>
    <col min="15" max="19" width="8.25" customWidth="1"/>
  </cols>
  <sheetData>
    <row r="15" spans="2:26" ht="32.25" customHeight="1">
      <c r="B15" s="150" t="s">
        <v>0</v>
      </c>
      <c r="H15" s="230" t="s">
        <v>1</v>
      </c>
      <c r="I15" s="231"/>
      <c r="J15" s="231"/>
      <c r="K15" s="231"/>
      <c r="L15" s="231"/>
      <c r="M15" s="231"/>
      <c r="N15" s="231"/>
      <c r="O15" s="231"/>
      <c r="P15" s="231"/>
      <c r="U15" s="58"/>
      <c r="V15" s="58"/>
      <c r="W15" s="58"/>
      <c r="X15" s="58"/>
      <c r="Y15" s="58"/>
      <c r="Z15" s="58"/>
    </row>
    <row r="16" spans="2:26">
      <c r="H16" s="231"/>
      <c r="I16" s="231"/>
      <c r="J16" s="231"/>
      <c r="K16" s="231"/>
      <c r="L16" s="231"/>
      <c r="M16" s="231"/>
      <c r="N16" s="231"/>
      <c r="O16" s="231"/>
      <c r="P16" s="231"/>
      <c r="U16" s="58"/>
      <c r="V16" s="58"/>
      <c r="W16" s="58"/>
      <c r="X16" s="58"/>
      <c r="Y16" s="58"/>
      <c r="Z16" s="58"/>
    </row>
    <row r="17" spans="1:27" ht="23.25" customHeight="1" thickBot="1">
      <c r="A17" s="76" t="s">
        <v>2</v>
      </c>
      <c r="U17" s="58"/>
      <c r="V17" s="58"/>
      <c r="W17" s="58"/>
      <c r="X17" s="58"/>
      <c r="Y17" s="58"/>
      <c r="Z17" s="58"/>
    </row>
    <row r="18" spans="1:27" ht="20.100000000000001" customHeight="1" thickBot="1">
      <c r="A18" s="1"/>
      <c r="B18" s="71" t="s">
        <v>3</v>
      </c>
      <c r="C18" s="234"/>
      <c r="D18" s="235"/>
      <c r="E18" s="235"/>
      <c r="F18" s="235"/>
      <c r="G18" s="235"/>
      <c r="H18" s="236"/>
      <c r="I18" s="74"/>
      <c r="J18" s="74"/>
      <c r="K18" s="74"/>
      <c r="L18" s="74"/>
      <c r="M18" s="74"/>
      <c r="O18" s="96" t="s">
        <v>4</v>
      </c>
      <c r="P18" s="97" t="s">
        <v>5</v>
      </c>
      <c r="Q18" s="97" t="s">
        <v>6</v>
      </c>
      <c r="R18" s="97" t="s">
        <v>7</v>
      </c>
      <c r="S18" s="97" t="s">
        <v>8</v>
      </c>
      <c r="T18" s="58"/>
      <c r="U18" s="156"/>
      <c r="V18" s="58"/>
      <c r="W18" s="58"/>
      <c r="X18" s="58"/>
      <c r="Y18" s="58"/>
      <c r="Z18" s="58"/>
      <c r="AA18" s="58"/>
    </row>
    <row r="19" spans="1:27" ht="9.75" customHeight="1" thickBot="1">
      <c r="A19" s="1"/>
      <c r="B19" s="39"/>
      <c r="C19" s="74"/>
      <c r="D19" s="74"/>
      <c r="E19" s="74"/>
      <c r="F19" s="74"/>
      <c r="G19" s="74"/>
      <c r="H19" s="74"/>
      <c r="I19" s="74"/>
      <c r="J19" s="74"/>
      <c r="K19" s="74"/>
      <c r="L19" s="74"/>
      <c r="M19" s="74"/>
      <c r="O19" s="232" t="str">
        <f>IF(K20="","",IF(U20=22,"22",IF(U20=11,"11",IF(U20=29,"11",MOD(U20-1,9)+1))))</f>
        <v/>
      </c>
      <c r="P19" s="232" t="str">
        <f>IF(K20="","",IF(V21=22,"22",IF(V21=11,"11",IF(V21=33,"33",MOD(V21-1,9)+1))))</f>
        <v/>
      </c>
      <c r="Q19" s="237" t="str">
        <f>IF(K20="","",IF(W20=22,"22",IF(W20=11,"11",IF(W20=33,"33",IF(W20=29,"11",IF(W20=38,"11",MOD(W20-1,9)+1))))))</f>
        <v/>
      </c>
      <c r="R19" s="232" t="str">
        <f>IF(K20="","",IF(X20=11,"11",IF(X20=22,"22",IF(X20=33,"33",MOD(X20-1,9)+1))))</f>
        <v/>
      </c>
      <c r="S19" s="232" t="str">
        <f>IF(K20="","",MOD(R19+Q19+O19-1,9)+1)</f>
        <v/>
      </c>
      <c r="T19" s="58"/>
      <c r="U19" s="58"/>
      <c r="V19" s="58"/>
      <c r="W19" s="58"/>
      <c r="X19" s="58"/>
      <c r="Y19" s="58"/>
      <c r="Z19" s="58"/>
      <c r="AA19" s="58"/>
    </row>
    <row r="20" spans="1:27" ht="20.100000000000001" customHeight="1" thickBot="1">
      <c r="A20" s="1"/>
      <c r="B20" s="71" t="s">
        <v>9</v>
      </c>
      <c r="C20" s="138"/>
      <c r="D20" s="138"/>
      <c r="E20" s="138"/>
      <c r="F20" s="138"/>
      <c r="G20" s="74"/>
      <c r="H20" s="137"/>
      <c r="I20" s="137"/>
      <c r="J20" s="74"/>
      <c r="K20" s="137"/>
      <c r="L20" s="137"/>
      <c r="M20" s="74"/>
      <c r="O20" s="233"/>
      <c r="P20" s="233"/>
      <c r="Q20" s="238"/>
      <c r="R20" s="233"/>
      <c r="S20" s="233"/>
      <c r="T20" s="58"/>
      <c r="U20" s="58">
        <f>+K20*10+L20</f>
        <v>0</v>
      </c>
      <c r="V20" s="58">
        <f>+U20+W20</f>
        <v>0</v>
      </c>
      <c r="W20" s="58">
        <f>SUM(C20:L20)</f>
        <v>0</v>
      </c>
      <c r="X20" s="58">
        <f>+H20+I20+K20+L20</f>
        <v>0</v>
      </c>
      <c r="Y20" s="58">
        <f>+U20+W20+X20</f>
        <v>0</v>
      </c>
      <c r="Z20" s="58"/>
      <c r="AA20" s="58"/>
    </row>
    <row r="21" spans="1:27" ht="20.100000000000001" customHeight="1" thickBot="1">
      <c r="A21" s="1"/>
      <c r="B21" s="39" t="s">
        <v>10</v>
      </c>
      <c r="C21" s="227"/>
      <c r="D21" s="228"/>
      <c r="E21" s="228"/>
      <c r="F21" s="229"/>
      <c r="G21" s="74"/>
      <c r="H21" s="74"/>
      <c r="I21" s="74"/>
      <c r="J21" s="74"/>
      <c r="K21" s="74"/>
      <c r="L21" s="74"/>
      <c r="M21" s="74"/>
      <c r="O21" s="74"/>
      <c r="P21" s="74"/>
      <c r="Q21" s="74"/>
      <c r="R21" s="74"/>
      <c r="S21" s="74"/>
      <c r="T21" s="58"/>
      <c r="U21" s="58">
        <f>MOD(U20-1,9)+1</f>
        <v>9</v>
      </c>
      <c r="V21" s="58">
        <f>+U21+W21</f>
        <v>18</v>
      </c>
      <c r="W21" s="58">
        <f>MOD(W20-1,9)+1</f>
        <v>9</v>
      </c>
      <c r="X21" s="58">
        <f>MOD(X20-1,9)+1</f>
        <v>9</v>
      </c>
      <c r="Y21" s="58">
        <f>MOD(Y20-1,9)+1</f>
        <v>9</v>
      </c>
      <c r="Z21" s="58"/>
      <c r="AA21" s="58"/>
    </row>
    <row r="22" spans="1:27" ht="20.100000000000001" customHeight="1" thickBot="1">
      <c r="A22" s="1"/>
      <c r="B22" s="39"/>
      <c r="C22" s="74"/>
      <c r="D22" s="74"/>
      <c r="E22" s="74"/>
      <c r="F22" s="74"/>
      <c r="G22" s="74"/>
      <c r="H22" s="74"/>
      <c r="I22" s="74"/>
      <c r="J22" s="74"/>
      <c r="K22" s="74"/>
      <c r="L22" s="74"/>
      <c r="M22" s="74"/>
      <c r="O22" s="74"/>
      <c r="P22" s="74"/>
      <c r="Q22" s="74"/>
      <c r="R22" s="74"/>
      <c r="S22" s="74"/>
      <c r="T22" s="58"/>
      <c r="U22" s="58">
        <f>+K20+L20</f>
        <v>0</v>
      </c>
      <c r="V22" s="58"/>
      <c r="W22" s="58"/>
      <c r="X22" s="58"/>
      <c r="Y22" s="58"/>
      <c r="Z22" s="58"/>
      <c r="AA22" s="58"/>
    </row>
    <row r="23" spans="1:27" ht="20.100000000000001" customHeight="1" thickBot="1">
      <c r="A23" s="19" t="s">
        <v>11</v>
      </c>
      <c r="B23" s="72" t="s">
        <v>12</v>
      </c>
      <c r="C23" s="137"/>
      <c r="D23" s="137"/>
      <c r="E23" s="137"/>
      <c r="F23" s="137"/>
      <c r="G23" s="74"/>
      <c r="H23" s="137"/>
      <c r="I23" s="137"/>
      <c r="J23" s="74"/>
      <c r="K23" s="137"/>
      <c r="L23" s="137"/>
      <c r="M23" s="74"/>
      <c r="O23" s="98" t="s">
        <v>4</v>
      </c>
      <c r="P23" s="98" t="s">
        <v>5</v>
      </c>
      <c r="Q23" s="98" t="s">
        <v>6</v>
      </c>
      <c r="R23" s="98" t="s">
        <v>7</v>
      </c>
      <c r="S23" s="98" t="s">
        <v>8</v>
      </c>
      <c r="T23" s="159"/>
      <c r="U23" s="58">
        <f>+K23*10+L23</f>
        <v>0</v>
      </c>
      <c r="V23" s="58">
        <f>+U23+W23</f>
        <v>0</v>
      </c>
      <c r="W23" s="58">
        <f>SUM(C23:L23)</f>
        <v>0</v>
      </c>
      <c r="X23" s="58">
        <f>+H23+I23+K23+L23</f>
        <v>0</v>
      </c>
      <c r="Y23" s="58">
        <f>+U23+W23+X23</f>
        <v>0</v>
      </c>
      <c r="Z23" s="58"/>
      <c r="AA23" s="58"/>
    </row>
    <row r="24" spans="1:27" ht="20.100000000000001" customHeight="1" thickBot="1">
      <c r="A24" s="1"/>
      <c r="B24" s="39" t="s">
        <v>10</v>
      </c>
      <c r="C24" s="227"/>
      <c r="D24" s="228"/>
      <c r="E24" s="228"/>
      <c r="F24" s="229"/>
      <c r="G24" s="74"/>
      <c r="H24" s="74"/>
      <c r="I24" s="74"/>
      <c r="J24" s="74"/>
      <c r="K24" s="74"/>
      <c r="L24" s="74"/>
      <c r="M24" s="74"/>
      <c r="O24" s="232" t="str">
        <f>IF(K23="","",IF(U23=22,"22",IF(U23=11,"11",IF(U23=29,"11",MOD(U23-1,9)+1))))</f>
        <v/>
      </c>
      <c r="P24" s="232" t="str">
        <f>IF(K23="","",IF(V24=22,"22",IF(V24=11,"11",IF(V24=33,"33",MOD(V24-1,9)+1))))</f>
        <v/>
      </c>
      <c r="Q24" s="237" t="str">
        <f>IF(K23="","",IF(W23=22,"22",IF(W23=11,"11",IF(W23=33,"33",IF(W23=29,"11",IF(W23=38,"11",MOD(W23-1,9)+1))))))</f>
        <v/>
      </c>
      <c r="R24" s="232" t="str">
        <f>IF(K23="","",IF(X23=11,"11",IF(X23=22,"22",IF(X23=33,"33",MOD(X23-1,9)+1))))</f>
        <v/>
      </c>
      <c r="S24" s="232" t="str">
        <f>IF(K23="","",MOD(R24+Q24+O24-1,9)+1)</f>
        <v/>
      </c>
      <c r="T24" s="58"/>
      <c r="U24" s="58">
        <f>MOD(U23-1,9)+1</f>
        <v>9</v>
      </c>
      <c r="V24" s="58">
        <f>+W24+U24</f>
        <v>18</v>
      </c>
      <c r="W24" s="58">
        <f>MOD(W23-1,9)+1</f>
        <v>9</v>
      </c>
      <c r="X24" s="58">
        <f>MOD(X23-1,9)+1</f>
        <v>9</v>
      </c>
      <c r="Y24" s="58">
        <f>MOD(Y23-1,9)+1</f>
        <v>9</v>
      </c>
      <c r="Z24" s="58"/>
      <c r="AA24" s="58"/>
    </row>
    <row r="25" spans="1:27" ht="9.75" customHeight="1" thickBot="1">
      <c r="A25" s="1"/>
      <c r="B25" s="39"/>
      <c r="C25" s="74"/>
      <c r="D25" s="74"/>
      <c r="E25" s="74"/>
      <c r="F25" s="74"/>
      <c r="G25" s="74"/>
      <c r="H25" s="74"/>
      <c r="I25" s="74"/>
      <c r="J25" s="74"/>
      <c r="K25" s="74"/>
      <c r="L25" s="74"/>
      <c r="M25" s="74"/>
      <c r="O25" s="233"/>
      <c r="P25" s="233"/>
      <c r="Q25" s="238"/>
      <c r="R25" s="233"/>
      <c r="S25" s="233"/>
      <c r="T25" s="58"/>
      <c r="U25" s="58"/>
      <c r="V25" s="58"/>
      <c r="W25" s="58"/>
      <c r="X25" s="58"/>
      <c r="Y25" s="58"/>
      <c r="Z25" s="58"/>
      <c r="AA25" s="58"/>
    </row>
    <row r="26" spans="1:27" ht="20.100000000000001" customHeight="1">
      <c r="A26" s="1"/>
      <c r="B26" s="39"/>
      <c r="C26" s="74"/>
      <c r="D26" s="74"/>
      <c r="E26" s="74"/>
      <c r="F26" s="74"/>
      <c r="G26" s="74"/>
      <c r="H26" s="74"/>
      <c r="I26" s="74"/>
      <c r="J26" s="74"/>
      <c r="K26" s="74"/>
      <c r="L26" s="74"/>
      <c r="M26" s="74"/>
      <c r="O26" s="75"/>
      <c r="P26" s="75"/>
      <c r="Q26" s="74"/>
      <c r="R26" s="75"/>
      <c r="S26" s="75"/>
      <c r="T26" s="58"/>
      <c r="U26" s="58"/>
      <c r="V26" s="58"/>
      <c r="W26" s="58"/>
      <c r="X26" s="58"/>
      <c r="Y26" s="58"/>
      <c r="Z26" s="58"/>
      <c r="AA26" s="58"/>
    </row>
    <row r="27" spans="1:27" ht="20.100000000000001" customHeight="1" thickBot="1">
      <c r="A27" s="1"/>
      <c r="B27" s="39"/>
      <c r="C27" s="74"/>
      <c r="D27" s="74"/>
      <c r="E27" s="74"/>
      <c r="F27" s="74"/>
      <c r="G27" s="74"/>
      <c r="H27" s="74"/>
      <c r="I27" s="74"/>
      <c r="J27" s="74"/>
      <c r="K27" s="74"/>
      <c r="L27" s="74"/>
      <c r="M27" s="74"/>
      <c r="O27" s="74"/>
      <c r="P27" s="74"/>
      <c r="Q27" s="74"/>
      <c r="R27" s="74"/>
      <c r="S27" s="74"/>
      <c r="T27" s="58"/>
      <c r="U27" s="58"/>
      <c r="V27" s="58"/>
      <c r="W27" s="58"/>
      <c r="X27" s="58"/>
      <c r="Y27" s="58"/>
      <c r="Z27" s="58"/>
      <c r="AA27" s="58"/>
    </row>
    <row r="28" spans="1:27" ht="20.100000000000001" customHeight="1" thickBot="1">
      <c r="A28" s="19" t="s">
        <v>13</v>
      </c>
      <c r="B28" s="73" t="s">
        <v>12</v>
      </c>
      <c r="C28" s="137"/>
      <c r="D28" s="137"/>
      <c r="E28" s="137"/>
      <c r="F28" s="137"/>
      <c r="G28" s="74"/>
      <c r="H28" s="137"/>
      <c r="I28" s="137"/>
      <c r="J28" s="74"/>
      <c r="K28" s="137"/>
      <c r="L28" s="137"/>
      <c r="M28" s="74"/>
      <c r="O28" s="99" t="s">
        <v>4</v>
      </c>
      <c r="P28" s="99" t="s">
        <v>5</v>
      </c>
      <c r="Q28" s="99" t="s">
        <v>6</v>
      </c>
      <c r="R28" s="99" t="s">
        <v>7</v>
      </c>
      <c r="S28" s="99" t="s">
        <v>8</v>
      </c>
      <c r="T28" s="58"/>
      <c r="U28" s="58">
        <f>+K28*10+L28</f>
        <v>0</v>
      </c>
      <c r="V28" s="58">
        <f>+U28+W28</f>
        <v>0</v>
      </c>
      <c r="W28" s="58">
        <f>SUM(C28:L28)</f>
        <v>0</v>
      </c>
      <c r="X28" s="58">
        <f>+H28+I28+K28+L28</f>
        <v>0</v>
      </c>
      <c r="Y28" s="58">
        <f>+U28+W28+X28</f>
        <v>0</v>
      </c>
      <c r="Z28" s="58"/>
      <c r="AA28" s="58"/>
    </row>
    <row r="29" spans="1:27" ht="20.100000000000001" customHeight="1" thickBot="1">
      <c r="A29" s="36"/>
      <c r="B29" s="39" t="s">
        <v>10</v>
      </c>
      <c r="C29" s="227"/>
      <c r="D29" s="228"/>
      <c r="E29" s="228"/>
      <c r="F29" s="229"/>
      <c r="G29" s="36"/>
      <c r="H29" s="36"/>
      <c r="I29" s="36"/>
      <c r="J29" s="36"/>
      <c r="K29" s="36"/>
      <c r="L29" s="36"/>
      <c r="M29" s="36"/>
      <c r="O29" s="232" t="str">
        <f>IF(K28="","",IF(U28=22,"22",IF(U28=11,"11",IF(U28=29,"11",MOD(U28-1,9)+1))))</f>
        <v/>
      </c>
      <c r="P29" s="232" t="str">
        <f>IF(K28="","",IF(V29=22,"22",IF(V29=11,"11",IF(V29=33,"33",MOD(V29-1,9)+1))))</f>
        <v/>
      </c>
      <c r="Q29" s="237" t="str">
        <f>IF(K28="","",IF(W28=22,"22",IF(W28=11,"11",IF(W28=33,"33",IF(W28=29,"11",IF(W28=38,"11",MOD(W28-1,9)+1))))))</f>
        <v/>
      </c>
      <c r="R29" s="237" t="str">
        <f>IF(K28="","",IF(X28=11,"11",IF(X28=22,"22",IF(X28=33,"33",MOD(X28-1,9)+1))))</f>
        <v/>
      </c>
      <c r="S29" s="232" t="str">
        <f>IF(K28="","",MOD(R29+Q29+O29-1,9)+1)</f>
        <v/>
      </c>
      <c r="T29" s="58"/>
      <c r="U29" s="58">
        <f>MOD(U28-1,9)+1</f>
        <v>9</v>
      </c>
      <c r="V29" s="58">
        <f>+W29+U29</f>
        <v>18</v>
      </c>
      <c r="W29" s="58">
        <f>MOD(W28-1,9)+1</f>
        <v>9</v>
      </c>
      <c r="X29" s="58">
        <f>MOD(X28-1,9)+1</f>
        <v>9</v>
      </c>
      <c r="Y29" s="58">
        <f>MOD(Y28-1,9)+1</f>
        <v>9</v>
      </c>
      <c r="Z29" s="58"/>
      <c r="AA29" s="58"/>
    </row>
    <row r="30" spans="1:27" ht="9.75" customHeight="1" thickBot="1">
      <c r="A30" s="36"/>
      <c r="B30" s="36"/>
      <c r="M30" s="36"/>
      <c r="O30" s="233"/>
      <c r="P30" s="233"/>
      <c r="Q30" s="238"/>
      <c r="R30" s="238"/>
      <c r="S30" s="233"/>
      <c r="T30" s="58"/>
      <c r="U30" s="58"/>
      <c r="V30" s="58"/>
      <c r="W30" s="58"/>
      <c r="X30" s="58"/>
      <c r="Y30" s="58"/>
      <c r="Z30" s="58"/>
      <c r="AA30" s="58"/>
    </row>
    <row r="31" spans="1:27" ht="20.100000000000001" customHeight="1">
      <c r="Q31" s="74"/>
      <c r="T31" s="58"/>
      <c r="U31" s="58"/>
      <c r="V31" s="58"/>
      <c r="W31" s="58"/>
      <c r="X31" s="58"/>
      <c r="Y31" s="58"/>
      <c r="Z31" s="58"/>
      <c r="AA31" s="58"/>
    </row>
    <row r="32" spans="1:27" ht="20.100000000000001" customHeight="1">
      <c r="Q32" s="100"/>
      <c r="T32" s="58"/>
      <c r="U32" s="58"/>
      <c r="V32" s="58"/>
      <c r="W32" s="58"/>
      <c r="X32" s="58"/>
      <c r="Y32" s="58"/>
      <c r="Z32" s="58"/>
      <c r="AA32" s="58"/>
    </row>
    <row r="33" spans="1:27" ht="17.25">
      <c r="A33" s="44" t="s">
        <v>14</v>
      </c>
      <c r="T33" s="58"/>
      <c r="U33" s="58"/>
      <c r="V33" s="58"/>
      <c r="W33" s="58"/>
      <c r="X33" s="58"/>
      <c r="Y33" s="58"/>
      <c r="Z33" s="58"/>
      <c r="AA33" s="58"/>
    </row>
    <row r="34" spans="1:27" ht="20.100000000000001" customHeight="1">
      <c r="T34" s="58"/>
      <c r="U34" s="58"/>
      <c r="V34" s="58"/>
      <c r="W34" s="58"/>
      <c r="X34" s="58"/>
      <c r="Y34" s="58"/>
      <c r="Z34" s="58"/>
      <c r="AA34" s="58"/>
    </row>
    <row r="35" spans="1:27" ht="17.25">
      <c r="A35" s="44" t="s">
        <v>15</v>
      </c>
      <c r="T35" s="58"/>
      <c r="U35" s="58"/>
      <c r="V35" s="58"/>
      <c r="W35" s="58"/>
      <c r="X35" s="58"/>
      <c r="Y35" s="58"/>
      <c r="Z35" s="58"/>
      <c r="AA35" s="58"/>
    </row>
    <row r="36" spans="1:27" ht="20.100000000000001" customHeight="1">
      <c r="U36" s="58"/>
      <c r="V36" s="58"/>
      <c r="W36" s="58"/>
      <c r="X36" s="58"/>
      <c r="Y36" s="58"/>
      <c r="Z36" s="58"/>
    </row>
    <row r="37" spans="1:27" ht="17.25">
      <c r="A37" s="44" t="s">
        <v>16</v>
      </c>
      <c r="U37" s="58"/>
      <c r="V37" s="58"/>
      <c r="W37" s="58"/>
      <c r="X37" s="58"/>
      <c r="Y37" s="58"/>
      <c r="Z37" s="58"/>
    </row>
    <row r="38" spans="1:27" ht="20.100000000000001" customHeight="1">
      <c r="A38" s="44" t="s">
        <v>17</v>
      </c>
      <c r="U38" s="58"/>
      <c r="V38" s="58"/>
      <c r="W38" s="58"/>
      <c r="X38" s="58"/>
      <c r="Y38" s="58"/>
      <c r="Z38" s="58"/>
    </row>
    <row r="40" spans="1:27" ht="65.25" customHeight="1">
      <c r="A40" s="239" t="s">
        <v>18</v>
      </c>
      <c r="B40" s="239"/>
      <c r="C40" s="239"/>
      <c r="D40" s="239"/>
      <c r="E40" s="239"/>
      <c r="F40" s="239"/>
      <c r="G40" s="239"/>
      <c r="H40" s="239"/>
      <c r="I40" s="239"/>
      <c r="J40" s="239"/>
      <c r="K40" s="239"/>
      <c r="L40" s="239"/>
      <c r="M40" s="239"/>
      <c r="N40" s="239"/>
      <c r="O40" s="239"/>
      <c r="P40" s="239"/>
      <c r="Q40" s="239"/>
    </row>
    <row r="42" spans="1:27" ht="87.75" customHeight="1">
      <c r="A42" s="239" t="s">
        <v>19</v>
      </c>
      <c r="B42" s="239"/>
      <c r="C42" s="239"/>
      <c r="D42" s="239"/>
      <c r="E42" s="239"/>
      <c r="F42" s="239"/>
      <c r="G42" s="239"/>
      <c r="H42" s="239"/>
      <c r="I42" s="239"/>
      <c r="J42" s="239"/>
      <c r="K42" s="239"/>
      <c r="L42" s="239"/>
      <c r="M42" s="239"/>
      <c r="N42" s="239"/>
      <c r="O42" s="239"/>
      <c r="P42" s="239"/>
      <c r="Q42" s="239"/>
    </row>
  </sheetData>
  <sheetProtection sheet="1" selectLockedCells="1"/>
  <mergeCells count="22">
    <mergeCell ref="A40:Q40"/>
    <mergeCell ref="A42:Q42"/>
    <mergeCell ref="Q29:Q30"/>
    <mergeCell ref="R29:R30"/>
    <mergeCell ref="S29:S30"/>
    <mergeCell ref="S19:S20"/>
    <mergeCell ref="O24:O25"/>
    <mergeCell ref="P24:P25"/>
    <mergeCell ref="Q24:Q25"/>
    <mergeCell ref="R24:R25"/>
    <mergeCell ref="S24:S25"/>
    <mergeCell ref="O19:O20"/>
    <mergeCell ref="P19:P20"/>
    <mergeCell ref="Q19:Q20"/>
    <mergeCell ref="R19:R20"/>
    <mergeCell ref="C21:F21"/>
    <mergeCell ref="H15:P16"/>
    <mergeCell ref="C24:F24"/>
    <mergeCell ref="C29:F29"/>
    <mergeCell ref="O29:O30"/>
    <mergeCell ref="P29:P30"/>
    <mergeCell ref="C18:H18"/>
  </mergeCells>
  <phoneticPr fontId="1"/>
  <pageMargins left="0.70866141732283472" right="0.70866141732283472" top="0.74803149606299213" bottom="0.74803149606299213" header="0.31496062992125984" footer="0.31496062992125984"/>
  <pageSetup paperSize="9" orientation="landscape" horizontalDpi="4294967293" r:id="rId1"/>
  <drawing r:id="rId2"/>
  <legacyDrawing r:id="rId3"/>
  <controls>
    <mc:AlternateContent xmlns:mc="http://schemas.openxmlformats.org/markup-compatibility/2006">
      <mc:Choice Requires="x14">
        <control shapeId="1025" r:id="rId4" name="入力新規">
          <controlPr defaultSize="0" autoLine="0" r:id="rId5">
            <anchor moveWithCells="1">
              <from>
                <xdr:col>9</xdr:col>
                <xdr:colOff>180975</xdr:colOff>
                <xdr:row>16</xdr:row>
                <xdr:rowOff>209550</xdr:rowOff>
              </from>
              <to>
                <xdr:col>13</xdr:col>
                <xdr:colOff>209550</xdr:colOff>
                <xdr:row>18</xdr:row>
                <xdr:rowOff>19050</xdr:rowOff>
              </to>
            </anchor>
          </controlPr>
        </control>
      </mc:Choice>
      <mc:Fallback>
        <control shapeId="1025" r:id="rId4" name="入力新規"/>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pageSetUpPr fitToPage="1"/>
  </sheetPr>
  <dimension ref="A1:Y61"/>
  <sheetViews>
    <sheetView view="pageBreakPreview" zoomScale="130" zoomScaleNormal="134" zoomScaleSheetLayoutView="130" workbookViewId="0">
      <selection activeCell="M5" sqref="M5:P5"/>
    </sheetView>
  </sheetViews>
  <sheetFormatPr defaultRowHeight="13.5"/>
  <cols>
    <col min="1" max="3" width="8.875" customWidth="1"/>
    <col min="4" max="7" width="2.25" customWidth="1"/>
    <col min="8" max="8" width="8.75" customWidth="1"/>
    <col min="9" max="9" width="1.75" customWidth="1"/>
    <col min="10" max="10" width="4.75" customWidth="1"/>
    <col min="11" max="12" width="2.25" customWidth="1"/>
    <col min="13" max="13" width="9.125" customWidth="1"/>
    <col min="14" max="14" width="4.75" customWidth="1"/>
    <col min="15" max="16" width="2.25" customWidth="1"/>
    <col min="17" max="18" width="9.125" customWidth="1"/>
    <col min="23" max="23" width="9" customWidth="1"/>
  </cols>
  <sheetData>
    <row r="1" spans="1:18" ht="30" customHeight="1"/>
    <row r="2" spans="1:18" ht="33" customHeight="1">
      <c r="Q2" s="165"/>
      <c r="R2" s="165"/>
    </row>
    <row r="3" spans="1:18">
      <c r="A3" s="107" t="s">
        <v>20</v>
      </c>
      <c r="N3" s="108" t="s">
        <v>21</v>
      </c>
      <c r="R3" s="1" t="s">
        <v>22</v>
      </c>
    </row>
    <row r="4" spans="1:18">
      <c r="A4" s="28"/>
    </row>
    <row r="5" spans="1:18" ht="18.75" customHeight="1">
      <c r="A5" s="109" t="s">
        <v>23</v>
      </c>
      <c r="B5" s="8"/>
      <c r="C5" s="8"/>
      <c r="D5" s="8"/>
      <c r="E5" s="8"/>
      <c r="F5" s="8"/>
      <c r="G5" s="8"/>
      <c r="H5" s="8"/>
      <c r="I5" s="8"/>
      <c r="J5" s="8"/>
      <c r="K5" s="8"/>
      <c r="L5" s="8"/>
      <c r="M5" s="265"/>
      <c r="N5" s="265"/>
      <c r="O5" s="265"/>
      <c r="P5" s="265"/>
      <c r="Q5" s="8" t="s">
        <v>24</v>
      </c>
      <c r="R5" s="9"/>
    </row>
    <row r="6" spans="1:18" ht="18.75" customHeight="1">
      <c r="A6" s="109" t="s">
        <v>25</v>
      </c>
      <c r="B6" s="8"/>
      <c r="C6" s="8"/>
      <c r="D6" s="8">
        <f>入力データ!C20</f>
        <v>0</v>
      </c>
      <c r="E6" s="8">
        <f>入力データ!D20</f>
        <v>0</v>
      </c>
      <c r="F6" s="8">
        <f>入力データ!E20</f>
        <v>0</v>
      </c>
      <c r="G6" s="8">
        <f>入力データ!F20</f>
        <v>0</v>
      </c>
      <c r="H6" s="8" t="s">
        <v>26</v>
      </c>
      <c r="I6" s="8"/>
      <c r="J6" s="8"/>
      <c r="K6" s="8">
        <f>入力データ!H20</f>
        <v>0</v>
      </c>
      <c r="L6" s="8">
        <f>入力データ!I20</f>
        <v>0</v>
      </c>
      <c r="M6" s="8" t="s">
        <v>27</v>
      </c>
      <c r="N6" s="8"/>
      <c r="O6" s="8">
        <f>入力データ!K20</f>
        <v>0</v>
      </c>
      <c r="P6" s="8">
        <f>入力データ!L20</f>
        <v>0</v>
      </c>
      <c r="Q6" s="8" t="s">
        <v>28</v>
      </c>
      <c r="R6" s="9"/>
    </row>
    <row r="7" spans="1:18">
      <c r="A7" s="28"/>
    </row>
    <row r="8" spans="1:18">
      <c r="A8" s="28"/>
    </row>
    <row r="9" spans="1:18">
      <c r="A9" s="107" t="s">
        <v>29</v>
      </c>
    </row>
    <row r="10" spans="1:18">
      <c r="A10" s="107" t="s">
        <v>30</v>
      </c>
    </row>
    <row r="11" spans="1:18">
      <c r="A11" s="28"/>
    </row>
    <row r="12" spans="1:18">
      <c r="A12" s="110" t="s">
        <v>31</v>
      </c>
    </row>
    <row r="13" spans="1:18">
      <c r="A13" s="28"/>
    </row>
    <row r="14" spans="1:18">
      <c r="A14" s="110" t="s">
        <v>32</v>
      </c>
    </row>
    <row r="15" spans="1:18">
      <c r="A15" s="110" t="s">
        <v>33</v>
      </c>
    </row>
    <row r="16" spans="1:18">
      <c r="A16" s="28"/>
    </row>
    <row r="17" spans="1:18">
      <c r="A17" s="28"/>
    </row>
    <row r="18" spans="1:18">
      <c r="A18" s="107" t="s">
        <v>34</v>
      </c>
    </row>
    <row r="19" spans="1:18">
      <c r="A19" s="107" t="s">
        <v>35</v>
      </c>
    </row>
    <row r="20" spans="1:18">
      <c r="A20" s="28"/>
    </row>
    <row r="21" spans="1:18">
      <c r="A21" s="28"/>
    </row>
    <row r="24" spans="1:18" ht="13.5" customHeight="1">
      <c r="A24" s="269" t="s">
        <v>36</v>
      </c>
      <c r="B24" s="269"/>
      <c r="C24" s="269"/>
      <c r="D24" s="269"/>
      <c r="E24" s="269"/>
      <c r="F24" s="269"/>
      <c r="G24" s="269"/>
      <c r="H24" s="269"/>
      <c r="J24" s="260" t="s">
        <v>37</v>
      </c>
      <c r="K24" s="260"/>
      <c r="L24" s="260"/>
      <c r="M24" s="260"/>
      <c r="N24" s="260"/>
      <c r="O24" s="260"/>
      <c r="P24" s="260"/>
      <c r="Q24" s="260"/>
      <c r="R24" s="260"/>
    </row>
    <row r="25" spans="1:18" ht="13.5" customHeight="1">
      <c r="A25" s="269"/>
      <c r="B25" s="269"/>
      <c r="C25" s="269"/>
      <c r="D25" s="269"/>
      <c r="E25" s="269"/>
      <c r="F25" s="269"/>
      <c r="G25" s="269"/>
      <c r="H25" s="269"/>
      <c r="J25" s="260"/>
      <c r="K25" s="260"/>
      <c r="L25" s="260"/>
      <c r="M25" s="260"/>
      <c r="N25" s="260"/>
      <c r="O25" s="260"/>
      <c r="P25" s="260"/>
      <c r="Q25" s="260"/>
      <c r="R25" s="260"/>
    </row>
    <row r="26" spans="1:18" ht="13.5" customHeight="1">
      <c r="A26" s="269"/>
      <c r="B26" s="269"/>
      <c r="C26" s="269"/>
      <c r="D26" s="269"/>
      <c r="E26" s="269"/>
      <c r="F26" s="269"/>
      <c r="G26" s="269"/>
      <c r="H26" s="269"/>
      <c r="J26" s="260"/>
      <c r="K26" s="260"/>
      <c r="L26" s="260"/>
      <c r="M26" s="260"/>
      <c r="N26" s="260"/>
      <c r="O26" s="260"/>
      <c r="P26" s="260"/>
      <c r="Q26" s="260"/>
      <c r="R26" s="260"/>
    </row>
    <row r="27" spans="1:18" ht="13.5" customHeight="1">
      <c r="A27" s="269"/>
      <c r="B27" s="269"/>
      <c r="C27" s="269"/>
      <c r="D27" s="269"/>
      <c r="E27" s="269"/>
      <c r="F27" s="269"/>
      <c r="G27" s="269"/>
      <c r="H27" s="269"/>
      <c r="J27" s="276"/>
      <c r="K27" s="276"/>
      <c r="L27" s="276"/>
      <c r="M27" s="276"/>
      <c r="N27" s="276"/>
      <c r="O27" s="276"/>
      <c r="P27" s="276"/>
      <c r="Q27" s="276"/>
      <c r="R27" s="276"/>
    </row>
    <row r="28" spans="1:18" ht="18.75" customHeight="1">
      <c r="C28" s="19"/>
      <c r="J28" s="270" t="s">
        <v>4</v>
      </c>
      <c r="K28" s="271"/>
      <c r="L28" s="272"/>
      <c r="M28" s="111" t="s">
        <v>38</v>
      </c>
      <c r="N28" s="270" t="s">
        <v>6</v>
      </c>
      <c r="O28" s="271"/>
      <c r="P28" s="272"/>
      <c r="Q28" s="111" t="s">
        <v>7</v>
      </c>
      <c r="R28" s="111" t="s">
        <v>8</v>
      </c>
    </row>
    <row r="29" spans="1:18" ht="13.5" customHeight="1">
      <c r="C29" s="209" t="s">
        <v>39</v>
      </c>
      <c r="J29" s="252" t="str">
        <f>入力データ!O19</f>
        <v/>
      </c>
      <c r="K29" s="253"/>
      <c r="L29" s="254"/>
      <c r="M29" s="263" t="str">
        <f>入力データ!P19</f>
        <v/>
      </c>
      <c r="N29" s="252" t="str">
        <f>入力データ!Q19</f>
        <v/>
      </c>
      <c r="O29" s="253"/>
      <c r="P29" s="254"/>
      <c r="Q29" s="261" t="str">
        <f>入力データ!R19</f>
        <v/>
      </c>
      <c r="R29" s="261" t="str">
        <f>入力データ!S19</f>
        <v/>
      </c>
    </row>
    <row r="30" spans="1:18" ht="13.5" customHeight="1">
      <c r="A30" s="17" t="s">
        <v>40</v>
      </c>
      <c r="C30" s="264" t="str">
        <f>N29</f>
        <v/>
      </c>
      <c r="J30" s="255"/>
      <c r="K30" s="256"/>
      <c r="L30" s="257"/>
      <c r="M30" s="264"/>
      <c r="N30" s="255"/>
      <c r="O30" s="256"/>
      <c r="P30" s="257"/>
      <c r="Q30" s="262"/>
      <c r="R30" s="262"/>
    </row>
    <row r="31" spans="1:18" ht="13.5" customHeight="1">
      <c r="A31" s="18" t="s">
        <v>41</v>
      </c>
      <c r="C31" s="264"/>
      <c r="J31" s="273"/>
      <c r="K31" s="274"/>
      <c r="L31" s="275"/>
      <c r="M31" s="277"/>
      <c r="N31" s="273"/>
      <c r="O31" s="274"/>
      <c r="P31" s="275"/>
      <c r="Q31" s="268"/>
      <c r="R31" s="268"/>
    </row>
    <row r="32" spans="1:18">
      <c r="C32" s="277"/>
    </row>
    <row r="34" spans="1:25">
      <c r="J34" s="278" t="s">
        <v>42</v>
      </c>
      <c r="K34" s="279"/>
      <c r="L34" s="279"/>
      <c r="M34" s="280"/>
      <c r="N34" s="22" t="s">
        <v>43</v>
      </c>
      <c r="O34" s="11"/>
      <c r="P34" s="12"/>
      <c r="Q34" s="2"/>
      <c r="R34" s="3"/>
    </row>
    <row r="35" spans="1:25">
      <c r="J35" s="281"/>
      <c r="K35" s="282"/>
      <c r="L35" s="282"/>
      <c r="M35" s="283"/>
      <c r="N35" s="23" t="s">
        <v>44</v>
      </c>
      <c r="O35" s="13"/>
      <c r="P35" s="14"/>
      <c r="R35" s="10"/>
    </row>
    <row r="36" spans="1:25">
      <c r="J36" s="284"/>
      <c r="K36" s="285"/>
      <c r="L36" s="285"/>
      <c r="M36" s="174"/>
      <c r="N36" s="25" t="s">
        <v>45</v>
      </c>
      <c r="O36" s="15"/>
      <c r="P36" s="16"/>
      <c r="Q36" s="5"/>
      <c r="R36" s="6"/>
    </row>
    <row r="37" spans="1:25">
      <c r="B37" s="263" t="str">
        <f>J29</f>
        <v/>
      </c>
      <c r="D37" s="252" t="str">
        <f>M29</f>
        <v/>
      </c>
      <c r="E37" s="253"/>
      <c r="F37" s="253"/>
      <c r="G37" s="254"/>
      <c r="J37" s="278" t="s">
        <v>46</v>
      </c>
      <c r="K37" s="279"/>
      <c r="L37" s="279"/>
      <c r="M37" s="280"/>
      <c r="N37" s="22" t="s">
        <v>47</v>
      </c>
      <c r="O37" s="11"/>
      <c r="P37" s="12"/>
      <c r="Q37" s="2"/>
      <c r="R37" s="3"/>
    </row>
    <row r="38" spans="1:25">
      <c r="B38" s="264"/>
      <c r="D38" s="255"/>
      <c r="E38" s="256"/>
      <c r="F38" s="256"/>
      <c r="G38" s="257"/>
      <c r="J38" s="286"/>
      <c r="K38" s="287"/>
      <c r="L38" s="287"/>
      <c r="M38" s="288"/>
      <c r="N38" s="23" t="s">
        <v>48</v>
      </c>
      <c r="O38" s="13"/>
      <c r="P38" s="14"/>
      <c r="R38" s="10"/>
    </row>
    <row r="39" spans="1:25">
      <c r="B39" s="264"/>
      <c r="D39" s="255"/>
      <c r="E39" s="256"/>
      <c r="F39" s="256"/>
      <c r="G39" s="257"/>
      <c r="J39" s="266" t="s">
        <v>49</v>
      </c>
      <c r="K39" s="267"/>
      <c r="L39" s="267"/>
      <c r="M39" s="175"/>
      <c r="N39" s="25" t="s">
        <v>50</v>
      </c>
      <c r="O39" s="15"/>
      <c r="P39" s="16"/>
      <c r="Q39" s="5"/>
      <c r="R39" s="6"/>
    </row>
    <row r="40" spans="1:25">
      <c r="A40" s="19"/>
      <c r="B40" s="210" t="s">
        <v>51</v>
      </c>
      <c r="D40" s="240" t="s">
        <v>38</v>
      </c>
      <c r="E40" s="241"/>
      <c r="F40" s="241"/>
      <c r="G40" s="242"/>
      <c r="J40" s="108" t="s">
        <v>52</v>
      </c>
      <c r="N40" s="17"/>
      <c r="Y40">
        <v>1</v>
      </c>
    </row>
    <row r="41" spans="1:25">
      <c r="A41" s="259" t="s">
        <v>53</v>
      </c>
      <c r="B41" s="259"/>
      <c r="D41" s="20" t="s">
        <v>54</v>
      </c>
      <c r="E41" s="20"/>
      <c r="F41" s="20"/>
      <c r="G41" s="20"/>
      <c r="H41" s="19"/>
    </row>
    <row r="42" spans="1:25">
      <c r="A42" s="259" t="s">
        <v>55</v>
      </c>
      <c r="B42" s="259"/>
      <c r="D42" s="20" t="s">
        <v>56</v>
      </c>
      <c r="E42" s="20"/>
      <c r="F42" s="20"/>
      <c r="G42" s="20"/>
      <c r="H42" s="17"/>
    </row>
    <row r="43" spans="1:25">
      <c r="H43" s="17"/>
    </row>
    <row r="46" spans="1:25" ht="13.5" customHeight="1">
      <c r="A46" s="260" t="s">
        <v>57</v>
      </c>
      <c r="B46" s="260"/>
      <c r="C46" s="260"/>
      <c r="D46" s="260"/>
      <c r="E46" s="260"/>
      <c r="F46" s="260"/>
      <c r="G46" s="260"/>
      <c r="H46" s="260"/>
      <c r="J46" s="22"/>
      <c r="K46" s="2"/>
      <c r="L46" s="2"/>
      <c r="M46" s="2"/>
      <c r="N46" s="2"/>
      <c r="O46" s="2"/>
      <c r="P46" s="2"/>
      <c r="Q46" s="2"/>
      <c r="R46" s="3"/>
    </row>
    <row r="47" spans="1:25" ht="13.5" customHeight="1">
      <c r="A47" s="260"/>
      <c r="B47" s="260"/>
      <c r="C47" s="260"/>
      <c r="D47" s="260"/>
      <c r="E47" s="260"/>
      <c r="F47" s="260"/>
      <c r="G47" s="260"/>
      <c r="H47" s="260"/>
      <c r="J47" s="21" t="s">
        <v>58</v>
      </c>
      <c r="R47" s="10"/>
    </row>
    <row r="48" spans="1:25" ht="13.5" customHeight="1">
      <c r="A48" s="260"/>
      <c r="B48" s="260"/>
      <c r="C48" s="260"/>
      <c r="D48" s="260"/>
      <c r="E48" s="260"/>
      <c r="F48" s="260"/>
      <c r="G48" s="260"/>
      <c r="H48" s="260"/>
      <c r="J48" s="23"/>
      <c r="R48" s="10"/>
    </row>
    <row r="49" spans="1:18" ht="13.5" customHeight="1">
      <c r="A49" s="260"/>
      <c r="B49" s="260"/>
      <c r="C49" s="260"/>
      <c r="D49" s="260"/>
      <c r="E49" s="260"/>
      <c r="F49" s="260"/>
      <c r="G49" s="260"/>
      <c r="H49" s="260"/>
      <c r="J49" s="23" t="s">
        <v>59</v>
      </c>
      <c r="R49" s="10"/>
    </row>
    <row r="50" spans="1:18">
      <c r="J50" s="23"/>
      <c r="R50" s="10"/>
    </row>
    <row r="51" spans="1:18">
      <c r="A51" s="258"/>
      <c r="B51" s="261" t="str">
        <f>Q29</f>
        <v/>
      </c>
      <c r="D51" s="243" t="str">
        <f>R29</f>
        <v/>
      </c>
      <c r="E51" s="244"/>
      <c r="F51" s="244"/>
      <c r="G51" s="245"/>
      <c r="J51" s="23" t="s">
        <v>60</v>
      </c>
      <c r="R51" s="10"/>
    </row>
    <row r="52" spans="1:18">
      <c r="A52" s="258"/>
      <c r="B52" s="262"/>
      <c r="D52" s="246"/>
      <c r="E52" s="247"/>
      <c r="F52" s="247"/>
      <c r="G52" s="248"/>
      <c r="J52" s="23"/>
      <c r="R52" s="10"/>
    </row>
    <row r="53" spans="1:18">
      <c r="A53" s="258"/>
      <c r="B53" s="262"/>
      <c r="D53" s="246"/>
      <c r="E53" s="247"/>
      <c r="F53" s="247"/>
      <c r="G53" s="248"/>
      <c r="J53" s="23" t="s">
        <v>61</v>
      </c>
      <c r="R53" s="10"/>
    </row>
    <row r="54" spans="1:18">
      <c r="A54" s="24"/>
      <c r="B54" s="177" t="s">
        <v>7</v>
      </c>
      <c r="D54" s="249" t="s">
        <v>8</v>
      </c>
      <c r="E54" s="250"/>
      <c r="F54" s="250"/>
      <c r="G54" s="251"/>
      <c r="J54" s="25"/>
      <c r="K54" s="5"/>
      <c r="L54" s="5"/>
      <c r="M54" s="5"/>
      <c r="N54" s="5"/>
      <c r="O54" s="5"/>
      <c r="P54" s="5"/>
      <c r="Q54" s="5"/>
      <c r="R54" s="6"/>
    </row>
    <row r="55" spans="1:18">
      <c r="A55" s="110"/>
      <c r="B55" s="220" t="s">
        <v>62</v>
      </c>
      <c r="D55" s="110" t="s">
        <v>63</v>
      </c>
      <c r="E55" s="18"/>
      <c r="F55" s="18"/>
      <c r="G55" s="18"/>
    </row>
    <row r="56" spans="1:18">
      <c r="D56" s="17" t="s">
        <v>64</v>
      </c>
      <c r="E56" s="17"/>
      <c r="F56" s="17"/>
      <c r="G56" s="17"/>
    </row>
    <row r="61" spans="1:18">
      <c r="D61" t="s">
        <v>65</v>
      </c>
    </row>
  </sheetData>
  <sheetProtection selectLockedCells="1"/>
  <mergeCells count="25">
    <mergeCell ref="M5:P5"/>
    <mergeCell ref="J39:L39"/>
    <mergeCell ref="R29:R31"/>
    <mergeCell ref="A24:H27"/>
    <mergeCell ref="J28:L28"/>
    <mergeCell ref="J29:L31"/>
    <mergeCell ref="N28:P28"/>
    <mergeCell ref="N29:P31"/>
    <mergeCell ref="J24:R27"/>
    <mergeCell ref="C30:C32"/>
    <mergeCell ref="M29:M31"/>
    <mergeCell ref="Q29:Q31"/>
    <mergeCell ref="J34:M35"/>
    <mergeCell ref="J36:L36"/>
    <mergeCell ref="J37:M38"/>
    <mergeCell ref="D40:G40"/>
    <mergeCell ref="D51:G53"/>
    <mergeCell ref="D54:G54"/>
    <mergeCell ref="D37:G39"/>
    <mergeCell ref="A51:A53"/>
    <mergeCell ref="A41:B41"/>
    <mergeCell ref="A42:B42"/>
    <mergeCell ref="A46:H49"/>
    <mergeCell ref="B51:B53"/>
    <mergeCell ref="B37:B39"/>
  </mergeCells>
  <phoneticPr fontId="1"/>
  <pageMargins left="0.70866141732283472" right="0.31496062992125984" top="0.15748031496062992" bottom="0.15748031496062992" header="0" footer="0"/>
  <pageSetup paperSize="9" fitToWidth="0" orientation="portrait" horizontalDpi="429496729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EB4C05"/>
    <pageSetUpPr fitToPage="1"/>
  </sheetPr>
  <dimension ref="A1:M60"/>
  <sheetViews>
    <sheetView topLeftCell="A7" zoomScale="70" zoomScaleNormal="70" workbookViewId="0">
      <selection activeCell="B19" sqref="B19:L24"/>
    </sheetView>
  </sheetViews>
  <sheetFormatPr defaultRowHeight="13.5"/>
  <cols>
    <col min="1" max="1" width="2.75" customWidth="1"/>
    <col min="2" max="2" width="7" customWidth="1"/>
    <col min="4" max="4" width="2.75" customWidth="1"/>
    <col min="5" max="5" width="9.75" customWidth="1"/>
    <col min="6" max="6" width="2.75" customWidth="1"/>
    <col min="7" max="7" width="7" customWidth="1"/>
    <col min="8" max="9" width="8.75" customWidth="1"/>
    <col min="12" max="12" width="7" customWidth="1"/>
    <col min="13" max="13" width="2.75" customWidth="1"/>
    <col min="14" max="14" width="9" customWidth="1"/>
    <col min="15" max="15" width="3.75" customWidth="1"/>
  </cols>
  <sheetData>
    <row r="1" spans="1:13" ht="30" customHeight="1"/>
    <row r="2" spans="1:13" ht="33" customHeight="1"/>
    <row r="3" spans="1:13">
      <c r="A3" s="28" t="s">
        <v>20</v>
      </c>
      <c r="J3" s="108" t="s">
        <v>21</v>
      </c>
      <c r="L3" s="1" t="s">
        <v>66</v>
      </c>
    </row>
    <row r="5" spans="1:13" s="13" customFormat="1" ht="18.75" customHeight="1">
      <c r="F5" s="87" t="s">
        <v>23</v>
      </c>
      <c r="G5" s="88"/>
      <c r="H5" s="88"/>
      <c r="I5" s="88"/>
      <c r="J5" s="293">
        <f>入力データ!C18</f>
        <v>0</v>
      </c>
      <c r="K5" s="293"/>
      <c r="L5" s="88" t="s">
        <v>24</v>
      </c>
      <c r="M5" s="89"/>
    </row>
    <row r="8" spans="1:13" ht="27" customHeight="1">
      <c r="A8" s="297" t="s">
        <v>67</v>
      </c>
      <c r="B8" s="297"/>
      <c r="C8" s="297"/>
      <c r="E8" s="28" t="s">
        <v>68</v>
      </c>
    </row>
    <row r="9" spans="1:13" ht="13.5" customHeight="1">
      <c r="A9" s="298" t="str">
        <f>+入力データ!O19</f>
        <v/>
      </c>
      <c r="B9" s="299"/>
      <c r="C9" s="300"/>
    </row>
    <row r="10" spans="1:13" ht="13.5" customHeight="1">
      <c r="A10" s="301"/>
      <c r="B10" s="302"/>
      <c r="C10" s="303"/>
      <c r="E10" s="107" t="s">
        <v>69</v>
      </c>
    </row>
    <row r="11" spans="1:13" ht="13.5" customHeight="1">
      <c r="A11" s="304"/>
      <c r="B11" s="305"/>
      <c r="C11" s="306"/>
      <c r="E11" s="107" t="s">
        <v>70</v>
      </c>
    </row>
    <row r="12" spans="1:13" ht="13.5" customHeight="1">
      <c r="C12" s="45"/>
      <c r="E12" s="1"/>
    </row>
    <row r="14" spans="1:13">
      <c r="A14" s="110" t="s">
        <v>71</v>
      </c>
    </row>
    <row r="15" spans="1:13">
      <c r="A15" s="110" t="s">
        <v>72</v>
      </c>
    </row>
    <row r="17" spans="1:13" ht="13.5" customHeight="1">
      <c r="A17" s="211"/>
      <c r="B17" s="307" t="s">
        <v>73</v>
      </c>
      <c r="C17" s="307"/>
      <c r="D17" s="307"/>
      <c r="E17" s="307"/>
      <c r="F17" s="307"/>
      <c r="G17" s="307"/>
      <c r="H17" s="307"/>
      <c r="I17" s="307"/>
      <c r="J17" s="307"/>
      <c r="K17" s="307"/>
      <c r="L17" s="307"/>
      <c r="M17" s="307"/>
    </row>
    <row r="18" spans="1:13" ht="13.5" customHeight="1">
      <c r="A18" s="211"/>
      <c r="B18" s="308"/>
      <c r="C18" s="308"/>
      <c r="D18" s="308"/>
      <c r="E18" s="308"/>
      <c r="F18" s="308"/>
      <c r="G18" s="308"/>
      <c r="H18" s="308"/>
      <c r="I18" s="308"/>
      <c r="J18" s="308"/>
      <c r="K18" s="308"/>
      <c r="L18" s="308"/>
      <c r="M18" s="308"/>
    </row>
    <row r="19" spans="1:13" ht="13.5" customHeight="1">
      <c r="A19" s="26"/>
      <c r="B19" s="289" t="e">
        <f>LOOKUP(A9,個性数!A3:A14,個性数!B3:B14)</f>
        <v>#N/A</v>
      </c>
      <c r="C19" s="289"/>
      <c r="D19" s="289"/>
      <c r="E19" s="289"/>
      <c r="F19" s="289"/>
      <c r="G19" s="289"/>
      <c r="H19" s="289"/>
      <c r="I19" s="289"/>
      <c r="J19" s="289"/>
      <c r="K19" s="289"/>
      <c r="L19" s="289"/>
      <c r="M19" s="3"/>
    </row>
    <row r="20" spans="1:13">
      <c r="A20" s="27"/>
      <c r="B20" s="290"/>
      <c r="C20" s="290"/>
      <c r="D20" s="290"/>
      <c r="E20" s="290"/>
      <c r="F20" s="290"/>
      <c r="G20" s="290"/>
      <c r="H20" s="290"/>
      <c r="I20" s="290"/>
      <c r="J20" s="290"/>
      <c r="K20" s="290"/>
      <c r="L20" s="290"/>
      <c r="M20" s="10"/>
    </row>
    <row r="21" spans="1:13">
      <c r="A21" s="27"/>
      <c r="B21" s="290"/>
      <c r="C21" s="290"/>
      <c r="D21" s="290"/>
      <c r="E21" s="290"/>
      <c r="F21" s="290"/>
      <c r="G21" s="290"/>
      <c r="H21" s="290"/>
      <c r="I21" s="290"/>
      <c r="J21" s="290"/>
      <c r="K21" s="290"/>
      <c r="L21" s="290"/>
      <c r="M21" s="10"/>
    </row>
    <row r="22" spans="1:13">
      <c r="A22" s="27"/>
      <c r="B22" s="290"/>
      <c r="C22" s="290"/>
      <c r="D22" s="290"/>
      <c r="E22" s="290"/>
      <c r="F22" s="290"/>
      <c r="G22" s="290"/>
      <c r="H22" s="290"/>
      <c r="I22" s="290"/>
      <c r="J22" s="290"/>
      <c r="K22" s="290"/>
      <c r="L22" s="290"/>
      <c r="M22" s="10"/>
    </row>
    <row r="23" spans="1:13">
      <c r="A23" s="27"/>
      <c r="B23" s="290"/>
      <c r="C23" s="290"/>
      <c r="D23" s="290"/>
      <c r="E23" s="290"/>
      <c r="F23" s="290"/>
      <c r="G23" s="290"/>
      <c r="H23" s="290"/>
      <c r="I23" s="290"/>
      <c r="J23" s="290"/>
      <c r="K23" s="290"/>
      <c r="L23" s="290"/>
      <c r="M23" s="10"/>
    </row>
    <row r="24" spans="1:13">
      <c r="A24" s="4"/>
      <c r="B24" s="294"/>
      <c r="C24" s="294"/>
      <c r="D24" s="294"/>
      <c r="E24" s="294"/>
      <c r="F24" s="294"/>
      <c r="G24" s="294"/>
      <c r="H24" s="294"/>
      <c r="I24" s="294"/>
      <c r="J24" s="294"/>
      <c r="K24" s="294"/>
      <c r="L24" s="294"/>
      <c r="M24" s="6"/>
    </row>
    <row r="25" spans="1:13">
      <c r="G25" s="47"/>
      <c r="H25" s="47"/>
      <c r="I25" s="47"/>
      <c r="J25" s="47"/>
      <c r="K25" s="47"/>
      <c r="L25" s="47"/>
    </row>
    <row r="27" spans="1:13">
      <c r="A27" s="212"/>
      <c r="B27" s="295" t="s">
        <v>74</v>
      </c>
      <c r="C27" s="295"/>
      <c r="D27" s="295"/>
      <c r="E27" s="295"/>
      <c r="F27" s="295"/>
      <c r="G27" s="295"/>
      <c r="H27" s="295"/>
      <c r="I27" s="295"/>
      <c r="J27" s="295"/>
      <c r="K27" s="295"/>
      <c r="L27" s="295"/>
      <c r="M27" s="212"/>
    </row>
    <row r="28" spans="1:13">
      <c r="A28" s="212"/>
      <c r="B28" s="295"/>
      <c r="C28" s="295"/>
      <c r="D28" s="295"/>
      <c r="E28" s="295"/>
      <c r="F28" s="295"/>
      <c r="G28" s="295"/>
      <c r="H28" s="295"/>
      <c r="I28" s="295"/>
      <c r="J28" s="295"/>
      <c r="K28" s="295"/>
      <c r="L28" s="295"/>
      <c r="M28" s="212"/>
    </row>
    <row r="29" spans="1:13">
      <c r="A29" s="26"/>
      <c r="B29" s="289" t="e">
        <f>LOOKUP(A9,個性数!A3:A14,個性数!E3:E14)</f>
        <v>#N/A</v>
      </c>
      <c r="C29" s="289"/>
      <c r="D29" s="289"/>
      <c r="E29" s="289"/>
      <c r="F29" s="289"/>
      <c r="G29" s="289"/>
      <c r="H29" s="289"/>
      <c r="I29" s="289"/>
      <c r="J29" s="289"/>
      <c r="K29" s="289"/>
      <c r="L29" s="289"/>
      <c r="M29" s="3"/>
    </row>
    <row r="30" spans="1:13">
      <c r="A30" s="27"/>
      <c r="B30" s="290"/>
      <c r="C30" s="290"/>
      <c r="D30" s="290"/>
      <c r="E30" s="290"/>
      <c r="F30" s="290"/>
      <c r="G30" s="290"/>
      <c r="H30" s="290"/>
      <c r="I30" s="290"/>
      <c r="J30" s="290"/>
      <c r="K30" s="290"/>
      <c r="L30" s="290"/>
      <c r="M30" s="10"/>
    </row>
    <row r="31" spans="1:13">
      <c r="A31" s="27"/>
      <c r="B31" s="290"/>
      <c r="C31" s="290"/>
      <c r="D31" s="290"/>
      <c r="E31" s="290"/>
      <c r="F31" s="290"/>
      <c r="G31" s="290"/>
      <c r="H31" s="290"/>
      <c r="I31" s="290"/>
      <c r="J31" s="290"/>
      <c r="K31" s="290"/>
      <c r="L31" s="290"/>
      <c r="M31" s="10"/>
    </row>
    <row r="32" spans="1:13">
      <c r="A32" s="4"/>
      <c r="B32" s="294"/>
      <c r="C32" s="294"/>
      <c r="D32" s="294"/>
      <c r="E32" s="294"/>
      <c r="F32" s="294"/>
      <c r="G32" s="294"/>
      <c r="H32" s="294"/>
      <c r="I32" s="294"/>
      <c r="J32" s="294"/>
      <c r="K32" s="294"/>
      <c r="L32" s="294"/>
      <c r="M32" s="6"/>
    </row>
    <row r="35" spans="1:13">
      <c r="A35" s="212"/>
      <c r="B35" s="295" t="s">
        <v>75</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c r="A37" s="26"/>
      <c r="B37" s="289" t="e">
        <f>LOOKUP(A9,個性数!A3:A14,個性数!F3:F14)</f>
        <v>#N/A</v>
      </c>
      <c r="C37" s="289"/>
      <c r="D37" s="289"/>
      <c r="E37" s="289"/>
      <c r="F37" s="289"/>
      <c r="G37" s="289"/>
      <c r="H37" s="289"/>
      <c r="I37" s="289"/>
      <c r="J37" s="289"/>
      <c r="K37" s="289"/>
      <c r="L37" s="289"/>
      <c r="M37" s="3"/>
    </row>
    <row r="38" spans="1:13">
      <c r="A38" s="27"/>
      <c r="B38" s="290"/>
      <c r="C38" s="290"/>
      <c r="D38" s="290"/>
      <c r="E38" s="290"/>
      <c r="F38" s="290"/>
      <c r="G38" s="290"/>
      <c r="H38" s="290"/>
      <c r="I38" s="290"/>
      <c r="J38" s="290"/>
      <c r="K38" s="290"/>
      <c r="L38" s="290"/>
      <c r="M38" s="10"/>
    </row>
    <row r="39" spans="1:13">
      <c r="A39" s="27"/>
      <c r="B39" s="290"/>
      <c r="C39" s="290"/>
      <c r="D39" s="290"/>
      <c r="E39" s="290"/>
      <c r="F39" s="290"/>
      <c r="G39" s="290"/>
      <c r="H39" s="290"/>
      <c r="I39" s="290"/>
      <c r="J39" s="290"/>
      <c r="K39" s="290"/>
      <c r="L39" s="290"/>
      <c r="M39" s="10"/>
    </row>
    <row r="40" spans="1:13">
      <c r="A40" s="4"/>
      <c r="B40" s="294"/>
      <c r="C40" s="294"/>
      <c r="D40" s="294"/>
      <c r="E40" s="294"/>
      <c r="F40" s="294"/>
      <c r="G40" s="294"/>
      <c r="H40" s="294"/>
      <c r="I40" s="294"/>
      <c r="J40" s="294"/>
      <c r="K40" s="294"/>
      <c r="L40" s="294"/>
      <c r="M40" s="6"/>
    </row>
    <row r="48" spans="1:13" ht="13.5" customHeight="1">
      <c r="A48" s="107" t="s">
        <v>76</v>
      </c>
      <c r="F48" s="296" t="s">
        <v>77</v>
      </c>
      <c r="G48" s="296"/>
      <c r="H48" s="296"/>
      <c r="I48" s="296"/>
      <c r="J48" s="296"/>
      <c r="K48" s="296"/>
      <c r="L48" s="296"/>
      <c r="M48" s="168"/>
    </row>
    <row r="49" spans="1:13" ht="13.15" customHeight="1">
      <c r="F49" s="296"/>
      <c r="G49" s="296"/>
      <c r="H49" s="296"/>
      <c r="I49" s="296"/>
      <c r="J49" s="296"/>
      <c r="K49" s="296"/>
      <c r="L49" s="296"/>
      <c r="M49" s="168"/>
    </row>
    <row r="50" spans="1:13" ht="13.5" customHeight="1">
      <c r="A50" s="107" t="s">
        <v>78</v>
      </c>
      <c r="F50" s="26"/>
      <c r="G50" s="289" t="e">
        <f>LOOKUP(A9,体験ｽﾄｰﾘｰ!A3:A14,体験ｽﾄｰﾘｰ!B3:B14)</f>
        <v>#N/A</v>
      </c>
      <c r="H50" s="289"/>
      <c r="I50" s="289"/>
      <c r="J50" s="289"/>
      <c r="K50" s="289"/>
      <c r="L50" s="289"/>
      <c r="M50" s="3"/>
    </row>
    <row r="51" spans="1:13" ht="13.5" customHeight="1">
      <c r="A51" s="107" t="s">
        <v>79</v>
      </c>
      <c r="F51" s="27"/>
      <c r="G51" s="290"/>
      <c r="H51" s="290"/>
      <c r="I51" s="290"/>
      <c r="J51" s="290"/>
      <c r="K51" s="290"/>
      <c r="L51" s="290"/>
      <c r="M51" s="10"/>
    </row>
    <row r="52" spans="1:13" ht="13.5" customHeight="1">
      <c r="A52" s="107" t="s">
        <v>80</v>
      </c>
      <c r="F52" s="27"/>
      <c r="G52" s="290"/>
      <c r="H52" s="290"/>
      <c r="I52" s="290"/>
      <c r="J52" s="290"/>
      <c r="K52" s="290"/>
      <c r="L52" s="290"/>
      <c r="M52" s="10"/>
    </row>
    <row r="53" spans="1:13">
      <c r="F53" s="27"/>
      <c r="G53" s="290"/>
      <c r="H53" s="290"/>
      <c r="I53" s="290"/>
      <c r="J53" s="290"/>
      <c r="K53" s="290"/>
      <c r="L53" s="290"/>
      <c r="M53" s="10"/>
    </row>
    <row r="54" spans="1:13" ht="13.5" customHeight="1">
      <c r="F54" s="27"/>
      <c r="G54" s="291" t="e">
        <f>LOOKUP(A9,体験ｽﾄｰﾘｰ!A3:A14,体験ｽﾄｰﾘｰ!C3:C14)</f>
        <v>#N/A</v>
      </c>
      <c r="H54" s="291"/>
      <c r="I54" s="291"/>
      <c r="J54" s="291"/>
      <c r="K54" s="291"/>
      <c r="L54" s="291"/>
      <c r="M54" s="10"/>
    </row>
    <row r="55" spans="1:13">
      <c r="F55" s="4"/>
      <c r="G55" s="292"/>
      <c r="H55" s="292"/>
      <c r="I55" s="292"/>
      <c r="J55" s="292"/>
      <c r="K55" s="292"/>
      <c r="L55" s="292"/>
      <c r="M55" s="6"/>
    </row>
    <row r="56" spans="1:13">
      <c r="G56" s="47"/>
      <c r="H56" s="47"/>
      <c r="I56" s="47"/>
      <c r="J56" s="47"/>
      <c r="K56" s="47"/>
      <c r="L56" s="47"/>
    </row>
    <row r="57" spans="1:13">
      <c r="G57" s="47"/>
      <c r="H57" s="47"/>
      <c r="I57" s="47"/>
      <c r="J57" s="47"/>
      <c r="K57" s="47"/>
      <c r="L57" s="47"/>
    </row>
    <row r="60" spans="1:13" ht="30" customHeight="1"/>
  </sheetData>
  <sheetProtection selectLockedCells="1"/>
  <mergeCells count="12">
    <mergeCell ref="G50:L53"/>
    <mergeCell ref="G54:L55"/>
    <mergeCell ref="J5:K5"/>
    <mergeCell ref="B29:L32"/>
    <mergeCell ref="B35:L36"/>
    <mergeCell ref="B37:L40"/>
    <mergeCell ref="B19:L24"/>
    <mergeCell ref="B27:L28"/>
    <mergeCell ref="F48:L49"/>
    <mergeCell ref="A8:C8"/>
    <mergeCell ref="A9:C11"/>
    <mergeCell ref="B17:M18"/>
  </mergeCells>
  <phoneticPr fontId="1"/>
  <pageMargins left="0.9055118110236221" right="0.51181102362204722" top="0.15748031496062992" bottom="0.15748031496062992" header="0" footer="0"/>
  <pageSetup paperSize="9" orientation="portrait" horizontalDpi="4294967293"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tabColor rgb="FFEB4C05"/>
    <pageSetUpPr fitToPage="1"/>
  </sheetPr>
  <dimension ref="A1:M60"/>
  <sheetViews>
    <sheetView zoomScale="90" zoomScaleNormal="90" workbookViewId="0">
      <selection activeCell="B19" sqref="B19"/>
    </sheetView>
  </sheetViews>
  <sheetFormatPr defaultRowHeight="13.5"/>
  <cols>
    <col min="1" max="1" width="2.75" customWidth="1"/>
    <col min="2" max="2" width="7" customWidth="1"/>
    <col min="4" max="4" width="2.75" customWidth="1"/>
    <col min="5" max="5" width="9.75" customWidth="1"/>
    <col min="6" max="6" width="2.75" customWidth="1"/>
    <col min="7" max="7" width="7" customWidth="1"/>
    <col min="8" max="9" width="8.75" customWidth="1"/>
    <col min="12" max="12" width="7" customWidth="1"/>
    <col min="13" max="13" width="2.75" customWidth="1"/>
    <col min="14" max="14" width="9" customWidth="1"/>
    <col min="15" max="15" width="3.75" customWidth="1"/>
  </cols>
  <sheetData>
    <row r="1" spans="1:13" ht="30" customHeight="1"/>
    <row r="2" spans="1:13" ht="33" customHeight="1"/>
    <row r="3" spans="1:13">
      <c r="A3" s="28" t="s">
        <v>20</v>
      </c>
      <c r="J3" s="108" t="s">
        <v>21</v>
      </c>
      <c r="L3" s="1" t="s">
        <v>66</v>
      </c>
    </row>
    <row r="5" spans="1:13" s="13" customFormat="1" ht="18.75" customHeight="1">
      <c r="F5" s="87" t="s">
        <v>23</v>
      </c>
      <c r="G5" s="88"/>
      <c r="H5" s="88"/>
      <c r="I5" s="88"/>
      <c r="J5" s="293">
        <f>入力データ!C18</f>
        <v>0</v>
      </c>
      <c r="K5" s="293"/>
      <c r="L5" s="88" t="s">
        <v>24</v>
      </c>
      <c r="M5" s="89"/>
    </row>
    <row r="8" spans="1:13" ht="27" customHeight="1">
      <c r="A8" s="297" t="s">
        <v>67</v>
      </c>
      <c r="B8" s="297"/>
      <c r="C8" s="297"/>
      <c r="E8" s="28" t="s">
        <v>68</v>
      </c>
    </row>
    <row r="9" spans="1:13" ht="13.5" customHeight="1">
      <c r="A9" s="309">
        <v>11</v>
      </c>
      <c r="B9" s="310"/>
      <c r="C9" s="311"/>
    </row>
    <row r="10" spans="1:13" ht="13.5" customHeight="1">
      <c r="A10" s="312"/>
      <c r="B10" s="313"/>
      <c r="C10" s="314"/>
      <c r="E10" s="107" t="s">
        <v>69</v>
      </c>
    </row>
    <row r="11" spans="1:13" ht="13.5" customHeight="1">
      <c r="A11" s="315"/>
      <c r="B11" s="316"/>
      <c r="C11" s="317"/>
      <c r="E11" s="107" t="s">
        <v>70</v>
      </c>
    </row>
    <row r="12" spans="1:13" ht="13.5" customHeight="1">
      <c r="C12" s="45"/>
      <c r="E12" s="1"/>
    </row>
    <row r="14" spans="1:13">
      <c r="A14" s="110" t="s">
        <v>71</v>
      </c>
    </row>
    <row r="15" spans="1:13">
      <c r="A15" s="110" t="s">
        <v>72</v>
      </c>
    </row>
    <row r="17" spans="1:13" ht="13.5" customHeight="1">
      <c r="A17" s="211"/>
      <c r="B17" s="307" t="s">
        <v>73</v>
      </c>
      <c r="C17" s="307"/>
      <c r="D17" s="307"/>
      <c r="E17" s="307"/>
      <c r="F17" s="307"/>
      <c r="G17" s="307"/>
      <c r="H17" s="307"/>
      <c r="I17" s="307"/>
      <c r="J17" s="307"/>
      <c r="K17" s="307"/>
      <c r="L17" s="307"/>
      <c r="M17" s="307"/>
    </row>
    <row r="18" spans="1:13" ht="13.5" customHeight="1">
      <c r="A18" s="211"/>
      <c r="B18" s="308"/>
      <c r="C18" s="308"/>
      <c r="D18" s="308"/>
      <c r="E18" s="308"/>
      <c r="F18" s="308"/>
      <c r="G18" s="308"/>
      <c r="H18" s="308"/>
      <c r="I18" s="308"/>
      <c r="J18" s="308"/>
      <c r="K18" s="308"/>
      <c r="L18" s="308"/>
      <c r="M18" s="308"/>
    </row>
    <row r="19" spans="1:13" ht="13.5" customHeight="1">
      <c r="A19" s="26"/>
      <c r="B19" s="318" t="str">
        <f>LOOKUP(A9,個性数!A3:A14,個性数!B3:B14)</f>
        <v>元々、持って生まれた基本となる資質は、見えない世界からのメッセンジャー。
神秘や精神世界に通じることで見えない世界と現実世界の橋渡しをします。 感性が豊か。
革新的に物事を創造するパワフルさを秘めています。　　　　　　　　　　　　　　　　　　　　　　　　　　　　　　　　　　　　　　　　　　　　　　　　　　　　　　　　　　　　　　　　　　　　　　　　　　　　　　　　　　　　　　　　　　　　　　　　　　　　　　　　　　　　　　　　　　　　　　　　　　　　　　　　　　　　　直観、審美眼に優れ、相手の心を察し、的確なメッセージを与えることができます。
また、表立って目立つことより、影でサポートする役に徹します。　　　　　　　　　　　　　　　　　　　　　　　　　　　　　　　</v>
      </c>
      <c r="C19" s="318"/>
      <c r="D19" s="318"/>
      <c r="E19" s="318"/>
      <c r="F19" s="318"/>
      <c r="G19" s="318"/>
      <c r="H19" s="318"/>
      <c r="I19" s="318"/>
      <c r="J19" s="318"/>
      <c r="K19" s="318"/>
      <c r="L19" s="318"/>
      <c r="M19" s="3"/>
    </row>
    <row r="20" spans="1:13">
      <c r="A20" s="27"/>
      <c r="B20" s="231"/>
      <c r="C20" s="231"/>
      <c r="D20" s="231"/>
      <c r="E20" s="231"/>
      <c r="F20" s="231"/>
      <c r="G20" s="231"/>
      <c r="H20" s="231"/>
      <c r="I20" s="231"/>
      <c r="J20" s="231"/>
      <c r="K20" s="231"/>
      <c r="L20" s="231"/>
      <c r="M20" s="10"/>
    </row>
    <row r="21" spans="1:13">
      <c r="A21" s="27"/>
      <c r="B21" s="231"/>
      <c r="C21" s="231"/>
      <c r="D21" s="231"/>
      <c r="E21" s="231"/>
      <c r="F21" s="231"/>
      <c r="G21" s="231"/>
      <c r="H21" s="231"/>
      <c r="I21" s="231"/>
      <c r="J21" s="231"/>
      <c r="K21" s="231"/>
      <c r="L21" s="231"/>
      <c r="M21" s="10"/>
    </row>
    <row r="22" spans="1:13">
      <c r="A22" s="27"/>
      <c r="B22" s="231"/>
      <c r="C22" s="231"/>
      <c r="D22" s="231"/>
      <c r="E22" s="231"/>
      <c r="F22" s="231"/>
      <c r="G22" s="231"/>
      <c r="H22" s="231"/>
      <c r="I22" s="231"/>
      <c r="J22" s="231"/>
      <c r="K22" s="231"/>
      <c r="L22" s="231"/>
      <c r="M22" s="10"/>
    </row>
    <row r="23" spans="1:13">
      <c r="A23" s="27"/>
      <c r="B23" s="231"/>
      <c r="C23" s="231"/>
      <c r="D23" s="231"/>
      <c r="E23" s="231"/>
      <c r="F23" s="231"/>
      <c r="G23" s="231"/>
      <c r="H23" s="231"/>
      <c r="I23" s="231"/>
      <c r="J23" s="231"/>
      <c r="K23" s="231"/>
      <c r="L23" s="231"/>
      <c r="M23" s="10"/>
    </row>
    <row r="24" spans="1:13">
      <c r="A24" s="4"/>
      <c r="B24" s="319"/>
      <c r="C24" s="319"/>
      <c r="D24" s="319"/>
      <c r="E24" s="319"/>
      <c r="F24" s="319"/>
      <c r="G24" s="319"/>
      <c r="H24" s="319"/>
      <c r="I24" s="319"/>
      <c r="J24" s="319"/>
      <c r="K24" s="319"/>
      <c r="L24" s="319"/>
      <c r="M24" s="6"/>
    </row>
    <row r="25" spans="1:13">
      <c r="G25" s="47"/>
      <c r="H25" s="47"/>
      <c r="I25" s="47"/>
      <c r="J25" s="47"/>
      <c r="K25" s="47"/>
      <c r="L25" s="47"/>
    </row>
    <row r="27" spans="1:13">
      <c r="A27" s="176"/>
      <c r="B27" s="295" t="s">
        <v>74</v>
      </c>
      <c r="C27" s="295"/>
      <c r="D27" s="295"/>
      <c r="E27" s="295"/>
      <c r="F27" s="295"/>
      <c r="G27" s="295"/>
      <c r="H27" s="295"/>
      <c r="I27" s="295"/>
      <c r="J27" s="295"/>
      <c r="K27" s="295"/>
      <c r="L27" s="295"/>
      <c r="M27" s="212"/>
    </row>
    <row r="28" spans="1:13">
      <c r="A28" s="212"/>
      <c r="B28" s="295"/>
      <c r="C28" s="295"/>
      <c r="D28" s="295"/>
      <c r="E28" s="295"/>
      <c r="F28" s="295"/>
      <c r="G28" s="295"/>
      <c r="H28" s="295"/>
      <c r="I28" s="295"/>
      <c r="J28" s="295"/>
      <c r="K28" s="295"/>
      <c r="L28" s="295"/>
      <c r="M28" s="212"/>
    </row>
    <row r="29" spans="1:13">
      <c r="A29" s="26"/>
      <c r="B29" s="320" t="str">
        <f>LOOKUP(A9,個性数!A3:A14,個性数!E3:E14)</f>
        <v>特に１１の中の１のエネルギーが強まり、「自分が率先して精神の向上を促さなければ」との思い込みから、人をコントロールしたり依存させる傾向になります。
精神世界に傾き過ぎることでアンバランスを体験します。</v>
      </c>
      <c r="C29" s="320"/>
      <c r="D29" s="320"/>
      <c r="E29" s="320"/>
      <c r="F29" s="320"/>
      <c r="G29" s="320"/>
      <c r="H29" s="320"/>
      <c r="I29" s="320"/>
      <c r="J29" s="320"/>
      <c r="K29" s="320"/>
      <c r="L29" s="320"/>
      <c r="M29" s="3"/>
    </row>
    <row r="30" spans="1:13">
      <c r="A30" s="27"/>
      <c r="B30" s="230"/>
      <c r="C30" s="230"/>
      <c r="D30" s="230"/>
      <c r="E30" s="230"/>
      <c r="F30" s="230"/>
      <c r="G30" s="230"/>
      <c r="H30" s="230"/>
      <c r="I30" s="230"/>
      <c r="J30" s="230"/>
      <c r="K30" s="230"/>
      <c r="L30" s="230"/>
      <c r="M30" s="10"/>
    </row>
    <row r="31" spans="1:13">
      <c r="A31" s="27"/>
      <c r="B31" s="230"/>
      <c r="C31" s="230"/>
      <c r="D31" s="230"/>
      <c r="E31" s="230"/>
      <c r="F31" s="230"/>
      <c r="G31" s="230"/>
      <c r="H31" s="230"/>
      <c r="I31" s="230"/>
      <c r="J31" s="230"/>
      <c r="K31" s="230"/>
      <c r="L31" s="230"/>
      <c r="M31" s="10"/>
    </row>
    <row r="32" spans="1:13">
      <c r="A32" s="4"/>
      <c r="B32" s="321"/>
      <c r="C32" s="321"/>
      <c r="D32" s="321"/>
      <c r="E32" s="321"/>
      <c r="F32" s="321"/>
      <c r="G32" s="321"/>
      <c r="H32" s="321"/>
      <c r="I32" s="321"/>
      <c r="J32" s="321"/>
      <c r="K32" s="321"/>
      <c r="L32" s="321"/>
      <c r="M32" s="6"/>
    </row>
    <row r="35" spans="1:13">
      <c r="A35" s="212"/>
      <c r="B35" s="295" t="s">
        <v>75</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c r="A37" s="26"/>
      <c r="B37" s="320" t="str">
        <f>LOOKUP(A9,個性数!A3:A14,個性数!F3:F14)</f>
        <v>特に１１の中の２のエネルギーが強まり、自分を過小評価し「現実世界に生きづらい」、
「認められない不安定さ」を体験します。</v>
      </c>
      <c r="C37" s="320"/>
      <c r="D37" s="320"/>
      <c r="E37" s="320"/>
      <c r="F37" s="320"/>
      <c r="G37" s="320"/>
      <c r="H37" s="320"/>
      <c r="I37" s="320"/>
      <c r="J37" s="320"/>
      <c r="K37" s="320"/>
      <c r="L37" s="320"/>
      <c r="M37" s="3"/>
    </row>
    <row r="38" spans="1:13">
      <c r="A38" s="27"/>
      <c r="B38" s="230"/>
      <c r="C38" s="230"/>
      <c r="D38" s="230"/>
      <c r="E38" s="230"/>
      <c r="F38" s="230"/>
      <c r="G38" s="230"/>
      <c r="H38" s="230"/>
      <c r="I38" s="230"/>
      <c r="J38" s="230"/>
      <c r="K38" s="230"/>
      <c r="L38" s="230"/>
      <c r="M38" s="10"/>
    </row>
    <row r="39" spans="1:13">
      <c r="A39" s="27"/>
      <c r="B39" s="230"/>
      <c r="C39" s="230"/>
      <c r="D39" s="230"/>
      <c r="E39" s="230"/>
      <c r="F39" s="230"/>
      <c r="G39" s="230"/>
      <c r="H39" s="230"/>
      <c r="I39" s="230"/>
      <c r="J39" s="230"/>
      <c r="K39" s="230"/>
      <c r="L39" s="230"/>
      <c r="M39" s="10"/>
    </row>
    <row r="40" spans="1:13">
      <c r="A40" s="4"/>
      <c r="B40" s="321"/>
      <c r="C40" s="321"/>
      <c r="D40" s="321"/>
      <c r="E40" s="321"/>
      <c r="F40" s="321"/>
      <c r="G40" s="321"/>
      <c r="H40" s="321"/>
      <c r="I40" s="321"/>
      <c r="J40" s="321"/>
      <c r="K40" s="321"/>
      <c r="L40" s="321"/>
      <c r="M40" s="6"/>
    </row>
    <row r="48" spans="1:13" ht="13.5" customHeight="1">
      <c r="A48" s="107" t="s">
        <v>76</v>
      </c>
      <c r="F48" s="322" t="s">
        <v>77</v>
      </c>
      <c r="G48" s="322"/>
      <c r="H48" s="322"/>
      <c r="I48" s="322"/>
      <c r="J48" s="322"/>
      <c r="K48" s="322"/>
      <c r="L48" s="322"/>
      <c r="M48" s="213"/>
    </row>
    <row r="49" spans="1:13" ht="13.15" customHeight="1">
      <c r="F49" s="322"/>
      <c r="G49" s="322"/>
      <c r="H49" s="322"/>
      <c r="I49" s="322"/>
      <c r="J49" s="322"/>
      <c r="K49" s="322"/>
      <c r="L49" s="322"/>
      <c r="M49" s="213"/>
    </row>
    <row r="50" spans="1:13" ht="13.5" customHeight="1">
      <c r="A50" s="107" t="s">
        <v>78</v>
      </c>
      <c r="F50" s="26"/>
      <c r="G50" s="320" t="str">
        <f>LOOKUP(A9,体験ｽﾄｰﾘｰ!A3:A14,体験ｽﾄｰﾘｰ!B3:B14)</f>
        <v>「生まれながらに感受性が鋭い、繫がりを大切にしたい」
あなたが落ち着ける場所はどんな場所ですか？</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c r="F53" s="27"/>
      <c r="G53" s="230"/>
      <c r="H53" s="230"/>
      <c r="I53" s="230"/>
      <c r="J53" s="230"/>
      <c r="K53" s="230"/>
      <c r="L53" s="230"/>
      <c r="M53" s="10"/>
    </row>
    <row r="54" spans="1:13" ht="13.5" customHeight="1">
      <c r="F54" s="27"/>
      <c r="G54" s="291" t="str">
        <f>LOOKUP(A9,体験ｽﾄｰﾘｰ!A3:A14,体験ｽﾄｰﾘｰ!C3:C14)</f>
        <v>「人を精神面でサポート、導くストーリー」</v>
      </c>
      <c r="H54" s="291"/>
      <c r="I54" s="291"/>
      <c r="J54" s="291"/>
      <c r="K54" s="291"/>
      <c r="L54" s="291"/>
      <c r="M54" s="10"/>
    </row>
    <row r="55" spans="1:13">
      <c r="F55" s="4"/>
      <c r="G55" s="292"/>
      <c r="H55" s="292"/>
      <c r="I55" s="292"/>
      <c r="J55" s="292"/>
      <c r="K55" s="292"/>
      <c r="L55" s="292"/>
      <c r="M55" s="6"/>
    </row>
    <row r="56" spans="1:13">
      <c r="G56" s="47"/>
      <c r="H56" s="47"/>
      <c r="I56" s="47"/>
      <c r="J56" s="47"/>
      <c r="K56" s="47"/>
      <c r="L56" s="47"/>
    </row>
    <row r="57" spans="1:13">
      <c r="G57" s="47"/>
      <c r="H57" s="47"/>
      <c r="I57" s="47"/>
      <c r="J57" s="47"/>
      <c r="K57" s="47"/>
      <c r="L57" s="47"/>
    </row>
    <row r="60" spans="1:13" ht="30" customHeight="1"/>
  </sheetData>
  <sheetProtection selectLockedCells="1"/>
  <mergeCells count="12">
    <mergeCell ref="G54:L55"/>
    <mergeCell ref="J5:K5"/>
    <mergeCell ref="A8:C8"/>
    <mergeCell ref="A9:C11"/>
    <mergeCell ref="B17:M18"/>
    <mergeCell ref="B19:L24"/>
    <mergeCell ref="B27:L28"/>
    <mergeCell ref="B29:L32"/>
    <mergeCell ref="B35:L36"/>
    <mergeCell ref="B37:L40"/>
    <mergeCell ref="F48:L49"/>
    <mergeCell ref="G50:L53"/>
  </mergeCells>
  <phoneticPr fontId="1"/>
  <pageMargins left="0.9055118110236221" right="0.51181102362204722" top="0.15748031496062992" bottom="0.15748031496062992" header="0" footer="0"/>
  <pageSetup paperSize="9" fitToWidth="0" orientation="portrait" horizont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tabColor rgb="FFEB4C05"/>
    <pageSetUpPr fitToPage="1"/>
  </sheetPr>
  <dimension ref="A1:M60"/>
  <sheetViews>
    <sheetView zoomScale="90" zoomScaleNormal="90" workbookViewId="0">
      <selection activeCell="A9" sqref="A9:C11"/>
    </sheetView>
  </sheetViews>
  <sheetFormatPr defaultRowHeight="13.5"/>
  <cols>
    <col min="1" max="1" width="2.75" customWidth="1"/>
    <col min="2" max="2" width="7" customWidth="1"/>
    <col min="4" max="4" width="2.75" customWidth="1"/>
    <col min="5" max="5" width="9.75" customWidth="1"/>
    <col min="6" max="6" width="2.75" customWidth="1"/>
    <col min="7" max="7" width="7" customWidth="1"/>
    <col min="8" max="9" width="8.75" customWidth="1"/>
    <col min="12" max="12" width="7" customWidth="1"/>
    <col min="13" max="13" width="2.75" customWidth="1"/>
    <col min="14" max="14" width="9" customWidth="1"/>
    <col min="15" max="15" width="3.75" customWidth="1"/>
  </cols>
  <sheetData>
    <row r="1" spans="1:13" ht="30" customHeight="1"/>
    <row r="2" spans="1:13" ht="33" customHeight="1"/>
    <row r="3" spans="1:13">
      <c r="A3" s="28" t="s">
        <v>20</v>
      </c>
      <c r="J3" s="108" t="s">
        <v>21</v>
      </c>
      <c r="L3" s="1" t="s">
        <v>66</v>
      </c>
    </row>
    <row r="5" spans="1:13" s="13" customFormat="1" ht="18.75" customHeight="1">
      <c r="F5" s="87" t="s">
        <v>23</v>
      </c>
      <c r="G5" s="88"/>
      <c r="H5" s="88"/>
      <c r="I5" s="88"/>
      <c r="J5" s="293">
        <f>入力データ!C18</f>
        <v>0</v>
      </c>
      <c r="K5" s="293"/>
      <c r="L5" s="88" t="s">
        <v>24</v>
      </c>
      <c r="M5" s="89"/>
    </row>
    <row r="8" spans="1:13" ht="27" customHeight="1">
      <c r="A8" s="325" t="s">
        <v>67</v>
      </c>
      <c r="B8" s="325"/>
      <c r="C8" s="325"/>
      <c r="E8" s="28" t="s">
        <v>68</v>
      </c>
    </row>
    <row r="9" spans="1:13" ht="13.5" customHeight="1">
      <c r="A9" s="298">
        <v>22</v>
      </c>
      <c r="B9" s="299"/>
      <c r="C9" s="300"/>
    </row>
    <row r="10" spans="1:13" ht="13.5" customHeight="1">
      <c r="A10" s="301"/>
      <c r="B10" s="302"/>
      <c r="C10" s="303"/>
      <c r="E10" s="107" t="s">
        <v>69</v>
      </c>
    </row>
    <row r="11" spans="1:13" ht="13.5" customHeight="1">
      <c r="A11" s="304"/>
      <c r="B11" s="305"/>
      <c r="C11" s="306"/>
      <c r="E11" s="107" t="s">
        <v>70</v>
      </c>
    </row>
    <row r="12" spans="1:13" ht="13.5" customHeight="1">
      <c r="C12" s="45"/>
      <c r="E12" s="1"/>
    </row>
    <row r="14" spans="1:13">
      <c r="A14" s="110" t="s">
        <v>71</v>
      </c>
    </row>
    <row r="15" spans="1:13">
      <c r="A15" s="110" t="s">
        <v>72</v>
      </c>
    </row>
    <row r="17" spans="1:13" ht="13.5" customHeight="1">
      <c r="A17" s="211"/>
      <c r="B17" s="307" t="s">
        <v>73</v>
      </c>
      <c r="C17" s="307"/>
      <c r="D17" s="307"/>
      <c r="E17" s="307"/>
      <c r="F17" s="307"/>
      <c r="G17" s="307"/>
      <c r="H17" s="307"/>
      <c r="I17" s="307"/>
      <c r="J17" s="307"/>
      <c r="K17" s="307"/>
      <c r="L17" s="307"/>
      <c r="M17" s="307"/>
    </row>
    <row r="18" spans="1:13" ht="13.5" customHeight="1">
      <c r="A18" s="211"/>
      <c r="B18" s="308"/>
      <c r="C18" s="308"/>
      <c r="D18" s="308"/>
      <c r="E18" s="308"/>
      <c r="F18" s="308"/>
      <c r="G18" s="308"/>
      <c r="H18" s="308"/>
      <c r="I18" s="308"/>
      <c r="J18" s="308"/>
      <c r="K18" s="308"/>
      <c r="L18" s="308"/>
      <c r="M18" s="308"/>
    </row>
    <row r="19" spans="1:13" ht="13.5" customHeight="1">
      <c r="A19" s="26"/>
      <c r="B19" s="320" t="str">
        <f>LOOKUP(A9,個性数!A3:A14,個性数!B3:B14)</f>
        <v>元々、持って生まれた基本となる資質は、カリスマ性のあるスケールの大きな常識人。
大勢の人の上に立って指揮する才能があり、発想や行動力が世界規模。
人望も厚く影響力があり、大舞台で活躍することでさらにその発信力が増します。
 大胆で現実的、型破りであり、真面目。人前に出て目立つことで本来のあなたが輝きます。　　　　　　　　　　　　　　　　　　　　　　　　　　　　　</v>
      </c>
      <c r="C19" s="320"/>
      <c r="D19" s="320"/>
      <c r="E19" s="320"/>
      <c r="F19" s="320"/>
      <c r="G19" s="320"/>
      <c r="H19" s="320"/>
      <c r="I19" s="320"/>
      <c r="J19" s="320"/>
      <c r="K19" s="320"/>
      <c r="L19" s="320"/>
      <c r="M19" s="3"/>
    </row>
    <row r="20" spans="1:13">
      <c r="A20" s="27"/>
      <c r="B20" s="230"/>
      <c r="C20" s="230"/>
      <c r="D20" s="230"/>
      <c r="E20" s="230"/>
      <c r="F20" s="230"/>
      <c r="G20" s="230"/>
      <c r="H20" s="230"/>
      <c r="I20" s="230"/>
      <c r="J20" s="230"/>
      <c r="K20" s="230"/>
      <c r="L20" s="230"/>
      <c r="M20" s="10"/>
    </row>
    <row r="21" spans="1:13">
      <c r="A21" s="27"/>
      <c r="B21" s="230"/>
      <c r="C21" s="230"/>
      <c r="D21" s="230"/>
      <c r="E21" s="230"/>
      <c r="F21" s="230"/>
      <c r="G21" s="230"/>
      <c r="H21" s="230"/>
      <c r="I21" s="230"/>
      <c r="J21" s="230"/>
      <c r="K21" s="230"/>
      <c r="L21" s="230"/>
      <c r="M21" s="10"/>
    </row>
    <row r="22" spans="1:13">
      <c r="A22" s="27"/>
      <c r="B22" s="230"/>
      <c r="C22" s="230"/>
      <c r="D22" s="230"/>
      <c r="E22" s="230"/>
      <c r="F22" s="230"/>
      <c r="G22" s="230"/>
      <c r="H22" s="230"/>
      <c r="I22" s="230"/>
      <c r="J22" s="230"/>
      <c r="K22" s="230"/>
      <c r="L22" s="230"/>
      <c r="M22" s="10"/>
    </row>
    <row r="23" spans="1:13">
      <c r="A23" s="27"/>
      <c r="B23" s="230"/>
      <c r="C23" s="230"/>
      <c r="D23" s="230"/>
      <c r="E23" s="230"/>
      <c r="F23" s="230"/>
      <c r="G23" s="230"/>
      <c r="H23" s="230"/>
      <c r="I23" s="230"/>
      <c r="J23" s="230"/>
      <c r="K23" s="230"/>
      <c r="L23" s="230"/>
      <c r="M23" s="10"/>
    </row>
    <row r="24" spans="1:13">
      <c r="A24" s="4"/>
      <c r="B24" s="321"/>
      <c r="C24" s="321"/>
      <c r="D24" s="321"/>
      <c r="E24" s="321"/>
      <c r="F24" s="321"/>
      <c r="G24" s="321"/>
      <c r="H24" s="321"/>
      <c r="I24" s="321"/>
      <c r="J24" s="321"/>
      <c r="K24" s="321"/>
      <c r="L24" s="321"/>
      <c r="M24" s="6"/>
    </row>
    <row r="25" spans="1:13">
      <c r="G25" s="47"/>
      <c r="H25" s="47"/>
      <c r="I25" s="47"/>
      <c r="J25" s="47"/>
      <c r="K25" s="47"/>
      <c r="L25" s="47"/>
    </row>
    <row r="27" spans="1:13">
      <c r="A27" s="212"/>
      <c r="B27" s="295" t="s">
        <v>74</v>
      </c>
      <c r="C27" s="295"/>
      <c r="D27" s="295"/>
      <c r="E27" s="295"/>
      <c r="F27" s="295"/>
      <c r="G27" s="295"/>
      <c r="H27" s="295"/>
      <c r="I27" s="295"/>
      <c r="J27" s="295"/>
      <c r="K27" s="295"/>
      <c r="L27" s="295"/>
      <c r="M27" s="212"/>
    </row>
    <row r="28" spans="1:13">
      <c r="A28" s="212"/>
      <c r="B28" s="295"/>
      <c r="C28" s="295"/>
      <c r="D28" s="295"/>
      <c r="E28" s="295"/>
      <c r="F28" s="295"/>
      <c r="G28" s="295"/>
      <c r="H28" s="295"/>
      <c r="I28" s="295"/>
      <c r="J28" s="295"/>
      <c r="K28" s="295"/>
      <c r="L28" s="295"/>
      <c r="M28" s="212"/>
    </row>
    <row r="29" spans="1:13">
      <c r="A29" s="26"/>
      <c r="B29" s="320" t="str">
        <f>LOOKUP(A9,個性数!A3:A14,個性数!E3:E14)</f>
        <v>新たな現実世界を構築する指導力・強固な意志力、自信溢れる言動、カリスマ性が極端に称賛される、または、遠い存在に感じられる、嫉妬されるなど、
いずれにしても注目を浴びます。</v>
      </c>
      <c r="C29" s="320"/>
      <c r="D29" s="320"/>
      <c r="E29" s="320"/>
      <c r="F29" s="320"/>
      <c r="G29" s="320"/>
      <c r="H29" s="320"/>
      <c r="I29" s="320"/>
      <c r="J29" s="320"/>
      <c r="K29" s="320"/>
      <c r="L29" s="320"/>
      <c r="M29" s="3"/>
    </row>
    <row r="30" spans="1:13">
      <c r="A30" s="27"/>
      <c r="B30" s="230"/>
      <c r="C30" s="230"/>
      <c r="D30" s="230"/>
      <c r="E30" s="230"/>
      <c r="F30" s="230"/>
      <c r="G30" s="230"/>
      <c r="H30" s="230"/>
      <c r="I30" s="230"/>
      <c r="J30" s="230"/>
      <c r="K30" s="230"/>
      <c r="L30" s="230"/>
      <c r="M30" s="10"/>
    </row>
    <row r="31" spans="1:13">
      <c r="A31" s="27"/>
      <c r="B31" s="230"/>
      <c r="C31" s="230"/>
      <c r="D31" s="230"/>
      <c r="E31" s="230"/>
      <c r="F31" s="230"/>
      <c r="G31" s="230"/>
      <c r="H31" s="230"/>
      <c r="I31" s="230"/>
      <c r="J31" s="230"/>
      <c r="K31" s="230"/>
      <c r="L31" s="230"/>
      <c r="M31" s="10"/>
    </row>
    <row r="32" spans="1:13">
      <c r="A32" s="4"/>
      <c r="B32" s="321"/>
      <c r="C32" s="321"/>
      <c r="D32" s="321"/>
      <c r="E32" s="321"/>
      <c r="F32" s="321"/>
      <c r="G32" s="321"/>
      <c r="H32" s="321"/>
      <c r="I32" s="321"/>
      <c r="J32" s="321"/>
      <c r="K32" s="321"/>
      <c r="L32" s="321"/>
      <c r="M32" s="6"/>
    </row>
    <row r="35" spans="1:13">
      <c r="A35" s="212"/>
      <c r="B35" s="295" t="s">
        <v>75</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c r="A37" s="26"/>
      <c r="B37" s="320" t="str">
        <f>LOOKUP(A9,個性数!A3:A14,個性数!F3:F14)</f>
        <v>本来の自分らしさが表に出ることをあきらめ、自分を目立たないようにする。
自分の発信力、影響力に抵抗を感じ、大勢の中に身を置くことから距離を置くようになります。</v>
      </c>
      <c r="C37" s="320"/>
      <c r="D37" s="320"/>
      <c r="E37" s="320"/>
      <c r="F37" s="320"/>
      <c r="G37" s="320"/>
      <c r="H37" s="320"/>
      <c r="I37" s="320"/>
      <c r="J37" s="320"/>
      <c r="K37" s="320"/>
      <c r="L37" s="320"/>
      <c r="M37" s="3"/>
    </row>
    <row r="38" spans="1:13">
      <c r="A38" s="27"/>
      <c r="B38" s="230"/>
      <c r="C38" s="230"/>
      <c r="D38" s="230"/>
      <c r="E38" s="230"/>
      <c r="F38" s="230"/>
      <c r="G38" s="230"/>
      <c r="H38" s="230"/>
      <c r="I38" s="230"/>
      <c r="J38" s="230"/>
      <c r="K38" s="230"/>
      <c r="L38" s="230"/>
      <c r="M38" s="10"/>
    </row>
    <row r="39" spans="1:13">
      <c r="A39" s="27"/>
      <c r="B39" s="230"/>
      <c r="C39" s="230"/>
      <c r="D39" s="230"/>
      <c r="E39" s="230"/>
      <c r="F39" s="230"/>
      <c r="G39" s="230"/>
      <c r="H39" s="230"/>
      <c r="I39" s="230"/>
      <c r="J39" s="230"/>
      <c r="K39" s="230"/>
      <c r="L39" s="230"/>
      <c r="M39" s="10"/>
    </row>
    <row r="40" spans="1:13">
      <c r="A40" s="4"/>
      <c r="B40" s="321"/>
      <c r="C40" s="321"/>
      <c r="D40" s="321"/>
      <c r="E40" s="321"/>
      <c r="F40" s="321"/>
      <c r="G40" s="321"/>
      <c r="H40" s="321"/>
      <c r="I40" s="321"/>
      <c r="J40" s="321"/>
      <c r="K40" s="321"/>
      <c r="L40" s="321"/>
      <c r="M40" s="6"/>
    </row>
    <row r="48" spans="1:13" ht="13.5" customHeight="1">
      <c r="A48" s="107" t="s">
        <v>76</v>
      </c>
      <c r="F48" s="322" t="s">
        <v>77</v>
      </c>
      <c r="G48" s="322"/>
      <c r="H48" s="322"/>
      <c r="I48" s="322"/>
      <c r="J48" s="322"/>
      <c r="K48" s="322"/>
      <c r="L48" s="322"/>
      <c r="M48" s="213"/>
    </row>
    <row r="49" spans="1:13" ht="13.15" customHeight="1">
      <c r="F49" s="322"/>
      <c r="G49" s="322"/>
      <c r="H49" s="322"/>
      <c r="I49" s="322"/>
      <c r="J49" s="322"/>
      <c r="K49" s="322"/>
      <c r="L49" s="322"/>
      <c r="M49" s="213"/>
    </row>
    <row r="50" spans="1:13" ht="13.5" customHeight="1">
      <c r="A50" s="107" t="s">
        <v>78</v>
      </c>
      <c r="F50" s="26"/>
      <c r="G50" s="320" t="str">
        <f>LOOKUP(A9,体験ｽﾄｰﾘｰ!A3:A14,体験ｽﾄｰﾘｰ!B3:B14)</f>
        <v>「正義のために行動する」
「実行力・実現力に優れている」
本来のあなたを発揮する時はいつですか？</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c r="F53" s="27"/>
      <c r="G53" s="230"/>
      <c r="H53" s="230"/>
      <c r="I53" s="230"/>
      <c r="J53" s="230"/>
      <c r="K53" s="230"/>
      <c r="L53" s="230"/>
      <c r="M53" s="10"/>
    </row>
    <row r="54" spans="1:13" ht="13.5" customHeight="1">
      <c r="F54" s="27"/>
      <c r="G54" s="323" t="str">
        <f>LOOKUP(A9,体験ｽﾄｰﾘｰ!A3:A14,体験ｽﾄｰﾘｰ!C3:C14)</f>
        <v>「自分の中の強い精神力、カリスマ性と向き合うストーリー」</v>
      </c>
      <c r="H54" s="323"/>
      <c r="I54" s="323"/>
      <c r="J54" s="323"/>
      <c r="K54" s="323"/>
      <c r="L54" s="323"/>
      <c r="M54" s="10"/>
    </row>
    <row r="55" spans="1:13">
      <c r="F55" s="4"/>
      <c r="G55" s="324"/>
      <c r="H55" s="324"/>
      <c r="I55" s="324"/>
      <c r="J55" s="324"/>
      <c r="K55" s="324"/>
      <c r="L55" s="324"/>
      <c r="M55" s="6"/>
    </row>
    <row r="56" spans="1:13">
      <c r="G56" s="47"/>
      <c r="H56" s="47"/>
      <c r="I56" s="47"/>
      <c r="J56" s="47"/>
      <c r="K56" s="47"/>
      <c r="L56" s="47"/>
    </row>
    <row r="57" spans="1:13">
      <c r="G57" s="47"/>
      <c r="H57" s="47"/>
      <c r="I57" s="47"/>
      <c r="J57" s="47"/>
      <c r="K57" s="47"/>
      <c r="L57" s="47"/>
    </row>
    <row r="60" spans="1:13" ht="30" customHeight="1"/>
  </sheetData>
  <sheetProtection selectLockedCells="1"/>
  <mergeCells count="12">
    <mergeCell ref="G54:L55"/>
    <mergeCell ref="J5:K5"/>
    <mergeCell ref="A8:C8"/>
    <mergeCell ref="A9:C11"/>
    <mergeCell ref="B17:M18"/>
    <mergeCell ref="B19:L24"/>
    <mergeCell ref="B27:L28"/>
    <mergeCell ref="B29:L32"/>
    <mergeCell ref="B35:L36"/>
    <mergeCell ref="B37:L40"/>
    <mergeCell ref="F48:L49"/>
    <mergeCell ref="G50:L53"/>
  </mergeCells>
  <phoneticPr fontId="1"/>
  <pageMargins left="0.9055118110236221" right="0.51181102362204722" top="0.15748031496062992" bottom="0.15748031496062992" header="0" footer="0"/>
  <pageSetup paperSize="9" scale="99" fitToWidth="0" orientation="portrait" horizontalDpi="4294967293"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7"/>
  </sheetPr>
  <dimension ref="A1:M61"/>
  <sheetViews>
    <sheetView zoomScale="88" zoomScaleNormal="88" workbookViewId="0">
      <selection activeCell="Q9" sqref="Q9"/>
    </sheetView>
  </sheetViews>
  <sheetFormatPr defaultRowHeight="13.5"/>
  <cols>
    <col min="1" max="1" width="2.75" customWidth="1"/>
    <col min="2" max="2" width="6" customWidth="1"/>
    <col min="4" max="4" width="2.75" customWidth="1"/>
    <col min="5" max="5" width="7" customWidth="1"/>
    <col min="6" max="6" width="1.75" customWidth="1"/>
    <col min="7" max="7" width="7" customWidth="1"/>
    <col min="8" max="8" width="9" customWidth="1"/>
    <col min="12" max="12" width="7.75" customWidth="1"/>
    <col min="13" max="13" width="2.75" customWidth="1"/>
    <col min="14" max="14" width="9" customWidth="1"/>
    <col min="15" max="15" width="3.75" customWidth="1"/>
  </cols>
  <sheetData>
    <row r="1" spans="1:13" ht="30" customHeight="1"/>
    <row r="2" spans="1:13" ht="33" customHeight="1"/>
    <row r="3" spans="1:13" s="28" customFormat="1" ht="13.5" customHeight="1">
      <c r="A3" s="107" t="s">
        <v>20</v>
      </c>
      <c r="J3" s="108" t="s">
        <v>21</v>
      </c>
      <c r="L3" s="1" t="s">
        <v>81</v>
      </c>
    </row>
    <row r="4" spans="1:13" s="28" customFormat="1" ht="13.5" customHeight="1"/>
    <row r="5" spans="1:13" s="28" customFormat="1" ht="18.75" customHeight="1">
      <c r="F5" s="86" t="s">
        <v>23</v>
      </c>
      <c r="G5" s="88"/>
      <c r="H5" s="88"/>
      <c r="I5" s="88"/>
      <c r="J5" s="293">
        <f>入力データ!C18</f>
        <v>0</v>
      </c>
      <c r="K5" s="293"/>
      <c r="L5" s="88" t="s">
        <v>24</v>
      </c>
      <c r="M5" s="89"/>
    </row>
    <row r="8" spans="1:13" ht="27.75" customHeight="1">
      <c r="A8" s="297" t="s">
        <v>82</v>
      </c>
      <c r="B8" s="297"/>
      <c r="C8" s="297"/>
      <c r="E8" s="107" t="s">
        <v>83</v>
      </c>
    </row>
    <row r="9" spans="1:13" ht="13.5" customHeight="1">
      <c r="A9" s="298" t="str">
        <f>入力データ!P19</f>
        <v/>
      </c>
      <c r="B9" s="299"/>
      <c r="C9" s="300"/>
      <c r="E9" s="107" t="s">
        <v>84</v>
      </c>
    </row>
    <row r="10" spans="1:13" ht="13.5" customHeight="1">
      <c r="A10" s="301"/>
      <c r="B10" s="302"/>
      <c r="C10" s="303"/>
      <c r="E10" s="107" t="s">
        <v>85</v>
      </c>
    </row>
    <row r="11" spans="1:13" ht="13.5" customHeight="1">
      <c r="A11" s="304"/>
      <c r="B11" s="305"/>
      <c r="C11" s="306"/>
      <c r="E11" s="107" t="s">
        <v>86</v>
      </c>
    </row>
    <row r="12" spans="1:13" ht="13.5" customHeight="1">
      <c r="C12" s="45"/>
      <c r="E12" s="1"/>
    </row>
    <row r="14" spans="1:13">
      <c r="A14" s="107" t="s">
        <v>87</v>
      </c>
    </row>
    <row r="15" spans="1:13">
      <c r="A15" s="107" t="s">
        <v>88</v>
      </c>
    </row>
    <row r="17" spans="1:13">
      <c r="A17" s="212"/>
      <c r="B17" s="295" t="s">
        <v>89</v>
      </c>
      <c r="C17" s="295"/>
      <c r="D17" s="295"/>
      <c r="E17" s="295"/>
      <c r="F17" s="295"/>
      <c r="G17" s="295"/>
      <c r="H17" s="295"/>
      <c r="I17" s="295"/>
      <c r="J17" s="295"/>
      <c r="K17" s="295"/>
      <c r="L17" s="295"/>
      <c r="M17" s="212"/>
    </row>
    <row r="18" spans="1:13">
      <c r="A18" s="212"/>
      <c r="B18" s="295"/>
      <c r="C18" s="295"/>
      <c r="D18" s="295"/>
      <c r="E18" s="295"/>
      <c r="F18" s="295"/>
      <c r="G18" s="295"/>
      <c r="H18" s="295"/>
      <c r="I18" s="295"/>
      <c r="J18" s="295"/>
      <c r="K18" s="295"/>
      <c r="L18" s="295"/>
      <c r="M18" s="212"/>
    </row>
    <row r="19" spans="1:13">
      <c r="A19" s="26"/>
      <c r="B19" s="320" t="e">
        <f>LOOKUP(A9,個性数!A3:A14,個性数!C3:C14)</f>
        <v>#N/A</v>
      </c>
      <c r="C19" s="320"/>
      <c r="D19" s="320"/>
      <c r="E19" s="320"/>
      <c r="F19" s="320"/>
      <c r="G19" s="320"/>
      <c r="H19" s="320"/>
      <c r="I19" s="320"/>
      <c r="J19" s="320"/>
      <c r="K19" s="320"/>
      <c r="L19" s="320"/>
      <c r="M19" s="3"/>
    </row>
    <row r="20" spans="1:13">
      <c r="A20" s="27"/>
      <c r="B20" s="230"/>
      <c r="C20" s="230"/>
      <c r="D20" s="230"/>
      <c r="E20" s="230"/>
      <c r="F20" s="230"/>
      <c r="G20" s="230"/>
      <c r="H20" s="230"/>
      <c r="I20" s="230"/>
      <c r="J20" s="230"/>
      <c r="K20" s="230"/>
      <c r="L20" s="230"/>
      <c r="M20" s="10"/>
    </row>
    <row r="21" spans="1:13">
      <c r="A21" s="27"/>
      <c r="B21" s="230"/>
      <c r="C21" s="230"/>
      <c r="D21" s="230"/>
      <c r="E21" s="230"/>
      <c r="F21" s="230"/>
      <c r="G21" s="230"/>
      <c r="H21" s="230"/>
      <c r="I21" s="230"/>
      <c r="J21" s="230"/>
      <c r="K21" s="230"/>
      <c r="L21" s="230"/>
      <c r="M21" s="10"/>
    </row>
    <row r="22" spans="1:13">
      <c r="A22" s="27"/>
      <c r="B22" s="230"/>
      <c r="C22" s="230"/>
      <c r="D22" s="230"/>
      <c r="E22" s="230"/>
      <c r="F22" s="230"/>
      <c r="G22" s="230"/>
      <c r="H22" s="230"/>
      <c r="I22" s="230"/>
      <c r="J22" s="230"/>
      <c r="K22" s="230"/>
      <c r="L22" s="230"/>
      <c r="M22" s="10"/>
    </row>
    <row r="23" spans="1:13">
      <c r="A23" s="27"/>
      <c r="B23" s="230"/>
      <c r="C23" s="230"/>
      <c r="D23" s="230"/>
      <c r="E23" s="230"/>
      <c r="F23" s="230"/>
      <c r="G23" s="230"/>
      <c r="H23" s="230"/>
      <c r="I23" s="230"/>
      <c r="J23" s="230"/>
      <c r="K23" s="230"/>
      <c r="L23" s="230"/>
      <c r="M23" s="10"/>
    </row>
    <row r="24" spans="1:13" ht="13.15" customHeight="1">
      <c r="A24" s="4"/>
      <c r="B24" s="321"/>
      <c r="C24" s="321"/>
      <c r="D24" s="321"/>
      <c r="E24" s="321"/>
      <c r="F24" s="321"/>
      <c r="G24" s="321"/>
      <c r="H24" s="321"/>
      <c r="I24" s="321"/>
      <c r="J24" s="321"/>
      <c r="K24" s="321"/>
      <c r="L24" s="321"/>
      <c r="M24" s="6"/>
    </row>
    <row r="25" spans="1:13" ht="13.5" customHeight="1"/>
    <row r="27" spans="1:13">
      <c r="A27" s="212"/>
      <c r="B27" s="295" t="s">
        <v>90</v>
      </c>
      <c r="C27" s="295"/>
      <c r="D27" s="295"/>
      <c r="E27" s="295"/>
      <c r="F27" s="295"/>
      <c r="G27" s="295"/>
      <c r="H27" s="295"/>
      <c r="I27" s="295"/>
      <c r="J27" s="295"/>
      <c r="K27" s="295"/>
      <c r="L27" s="295"/>
      <c r="M27" s="212"/>
    </row>
    <row r="28" spans="1:13">
      <c r="A28" s="212"/>
      <c r="B28" s="295"/>
      <c r="C28" s="295"/>
      <c r="D28" s="295"/>
      <c r="E28" s="295"/>
      <c r="F28" s="295"/>
      <c r="G28" s="295"/>
      <c r="H28" s="295"/>
      <c r="I28" s="295"/>
      <c r="J28" s="295"/>
      <c r="K28" s="295"/>
      <c r="L28" s="295"/>
      <c r="M28" s="212"/>
    </row>
    <row r="29" spans="1:13" ht="13.9" customHeight="1">
      <c r="A29" s="26"/>
      <c r="B29" s="320" t="e">
        <f>LOOKUP(A9,個性数!A3:A14,個性数!E3:E14)</f>
        <v>#N/A</v>
      </c>
      <c r="C29" s="320"/>
      <c r="D29" s="320"/>
      <c r="E29" s="320"/>
      <c r="F29" s="320"/>
      <c r="G29" s="320"/>
      <c r="H29" s="320"/>
      <c r="I29" s="320"/>
      <c r="J29" s="320"/>
      <c r="K29" s="320"/>
      <c r="L29" s="320"/>
      <c r="M29" s="3"/>
    </row>
    <row r="30" spans="1:13" ht="13.9" customHeight="1">
      <c r="A30" s="27"/>
      <c r="B30" s="230"/>
      <c r="C30" s="230"/>
      <c r="D30" s="230"/>
      <c r="E30" s="230"/>
      <c r="F30" s="230"/>
      <c r="G30" s="230"/>
      <c r="H30" s="230"/>
      <c r="I30" s="230"/>
      <c r="J30" s="230"/>
      <c r="K30" s="230"/>
      <c r="L30" s="230"/>
      <c r="M30" s="10"/>
    </row>
    <row r="31" spans="1:13" ht="13.9" customHeight="1">
      <c r="A31" s="27"/>
      <c r="B31" s="230"/>
      <c r="C31" s="230"/>
      <c r="D31" s="230"/>
      <c r="E31" s="230"/>
      <c r="F31" s="230"/>
      <c r="G31" s="230"/>
      <c r="H31" s="230"/>
      <c r="I31" s="230"/>
      <c r="J31" s="230"/>
      <c r="K31" s="230"/>
      <c r="L31" s="230"/>
      <c r="M31" s="10"/>
    </row>
    <row r="32" spans="1:13" ht="13.9" customHeight="1">
      <c r="A32" s="4"/>
      <c r="B32" s="321"/>
      <c r="C32" s="321"/>
      <c r="D32" s="321"/>
      <c r="E32" s="321"/>
      <c r="F32" s="321"/>
      <c r="G32" s="321"/>
      <c r="H32" s="321"/>
      <c r="I32" s="321"/>
      <c r="J32" s="321"/>
      <c r="K32" s="321"/>
      <c r="L32" s="321"/>
      <c r="M32" s="6"/>
    </row>
    <row r="35" spans="1:13">
      <c r="A35" s="212"/>
      <c r="B35" s="295" t="s">
        <v>91</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ht="13.9" customHeight="1">
      <c r="A37" s="26"/>
      <c r="B37" s="320" t="e">
        <f>LOOKUP(A9,個性数!A3:A14,個性数!F3:F14)</f>
        <v>#N/A</v>
      </c>
      <c r="C37" s="320"/>
      <c r="D37" s="320"/>
      <c r="E37" s="320"/>
      <c r="F37" s="320"/>
      <c r="G37" s="320"/>
      <c r="H37" s="320"/>
      <c r="I37" s="320"/>
      <c r="J37" s="320"/>
      <c r="K37" s="320"/>
      <c r="L37" s="320"/>
      <c r="M37" s="3"/>
    </row>
    <row r="38" spans="1:13" ht="13.9" customHeight="1">
      <c r="A38" s="27"/>
      <c r="B38" s="230"/>
      <c r="C38" s="230"/>
      <c r="D38" s="230"/>
      <c r="E38" s="230"/>
      <c r="F38" s="230"/>
      <c r="G38" s="230"/>
      <c r="H38" s="230"/>
      <c r="I38" s="230"/>
      <c r="J38" s="230"/>
      <c r="K38" s="230"/>
      <c r="L38" s="230"/>
      <c r="M38" s="10"/>
    </row>
    <row r="39" spans="1:13" ht="13.9" customHeight="1">
      <c r="A39" s="27"/>
      <c r="B39" s="230"/>
      <c r="C39" s="230"/>
      <c r="D39" s="230"/>
      <c r="E39" s="230"/>
      <c r="F39" s="230"/>
      <c r="G39" s="230"/>
      <c r="H39" s="230"/>
      <c r="I39" s="230"/>
      <c r="J39" s="230"/>
      <c r="K39" s="230"/>
      <c r="L39" s="230"/>
      <c r="M39" s="10"/>
    </row>
    <row r="40" spans="1:13" ht="13.9" customHeight="1">
      <c r="A40" s="4"/>
      <c r="B40" s="321"/>
      <c r="C40" s="321"/>
      <c r="D40" s="321"/>
      <c r="E40" s="321"/>
      <c r="F40" s="321"/>
      <c r="G40" s="321"/>
      <c r="H40" s="321"/>
      <c r="I40" s="321"/>
      <c r="J40" s="321"/>
      <c r="K40" s="321"/>
      <c r="L40" s="321"/>
      <c r="M40" s="6"/>
    </row>
    <row r="43" spans="1:13">
      <c r="B43" s="39"/>
    </row>
    <row r="46" spans="1:13">
      <c r="A46" s="13"/>
    </row>
    <row r="48" spans="1:13" ht="13.5" customHeight="1">
      <c r="A48" s="39" t="s">
        <v>76</v>
      </c>
      <c r="B48" s="106"/>
      <c r="F48" s="322" t="s">
        <v>92</v>
      </c>
      <c r="G48" s="322"/>
      <c r="H48" s="322"/>
      <c r="I48" s="322"/>
      <c r="J48" s="322"/>
      <c r="K48" s="322"/>
      <c r="L48" s="322"/>
      <c r="M48" s="322"/>
    </row>
    <row r="49" spans="1:13" ht="13.5" customHeight="1">
      <c r="F49" s="322"/>
      <c r="G49" s="322"/>
      <c r="H49" s="322"/>
      <c r="I49" s="322"/>
      <c r="J49" s="322"/>
      <c r="K49" s="322"/>
      <c r="L49" s="322"/>
      <c r="M49" s="322"/>
    </row>
    <row r="50" spans="1:13" ht="13.5" customHeight="1">
      <c r="A50" s="107" t="s">
        <v>93</v>
      </c>
      <c r="F50" s="26"/>
      <c r="G50" s="320" t="e">
        <f>LOOKUP(A9,体験ｽﾄｰﾘｰ!A2:A14,体験ｽﾄｰﾘｰ!D2:D14)</f>
        <v>#N/A</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ht="13.5" customHeight="1">
      <c r="F53" s="27"/>
      <c r="G53" s="230"/>
      <c r="H53" s="230"/>
      <c r="I53" s="230"/>
      <c r="J53" s="230"/>
      <c r="K53" s="230"/>
      <c r="L53" s="230"/>
      <c r="M53" s="10"/>
    </row>
    <row r="54" spans="1:13" ht="13.5" customHeight="1">
      <c r="F54" s="27"/>
      <c r="G54" s="323" t="e">
        <f>LOOKUP(A9,体験ｽﾄｰﾘｰ!A2:A14,体験ｽﾄｰﾘｰ!E2:E14)</f>
        <v>#N/A</v>
      </c>
      <c r="H54" s="323"/>
      <c r="I54" s="323"/>
      <c r="J54" s="323"/>
      <c r="K54" s="323"/>
      <c r="L54" s="323"/>
      <c r="M54" s="10"/>
    </row>
    <row r="55" spans="1:13">
      <c r="F55" s="4"/>
      <c r="G55" s="324"/>
      <c r="H55" s="324"/>
      <c r="I55" s="324"/>
      <c r="J55" s="324"/>
      <c r="K55" s="324"/>
      <c r="L55" s="324"/>
      <c r="M55" s="6"/>
    </row>
    <row r="56" spans="1:13">
      <c r="G56" s="47"/>
      <c r="H56" s="47"/>
      <c r="I56" s="47"/>
      <c r="J56" s="47"/>
      <c r="K56" s="47"/>
      <c r="L56" s="47"/>
    </row>
    <row r="57" spans="1:13">
      <c r="G57" s="47"/>
      <c r="H57" s="47"/>
      <c r="I57" s="47"/>
      <c r="J57" s="47"/>
      <c r="K57" s="47"/>
      <c r="L57" s="47"/>
    </row>
    <row r="59" spans="1:13">
      <c r="E59" s="13" t="s">
        <v>94</v>
      </c>
      <c r="G59" s="13"/>
      <c r="H59" s="13"/>
      <c r="I59" s="13"/>
      <c r="J59" s="13"/>
      <c r="K59" s="13"/>
    </row>
    <row r="61" spans="1:13" ht="30" customHeight="1"/>
  </sheetData>
  <sheetProtection selectLockedCells="1"/>
  <mergeCells count="12">
    <mergeCell ref="B27:L28"/>
    <mergeCell ref="B29:L32"/>
    <mergeCell ref="J5:K5"/>
    <mergeCell ref="B17:L18"/>
    <mergeCell ref="B19:L24"/>
    <mergeCell ref="A8:C8"/>
    <mergeCell ref="A9:C11"/>
    <mergeCell ref="G54:L55"/>
    <mergeCell ref="G50:L53"/>
    <mergeCell ref="B35:L36"/>
    <mergeCell ref="B37:L40"/>
    <mergeCell ref="F48:M49"/>
  </mergeCells>
  <phoneticPr fontId="1"/>
  <pageMargins left="0.7" right="0.7" top="0.75" bottom="0.75" header="0.3" footer="0.3"/>
  <pageSetup paperSize="9" scale="99" fitToWidth="0" fitToHeight="0"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3">
    <tabColor theme="7"/>
    <pageSetUpPr fitToPage="1"/>
  </sheetPr>
  <dimension ref="A1:M61"/>
  <sheetViews>
    <sheetView topLeftCell="A5" zoomScale="88" zoomScaleNormal="88" workbookViewId="0">
      <selection activeCell="F48" sqref="F48:M49"/>
    </sheetView>
  </sheetViews>
  <sheetFormatPr defaultRowHeight="13.5"/>
  <cols>
    <col min="1" max="1" width="2.75" customWidth="1"/>
    <col min="2" max="2" width="6" customWidth="1"/>
    <col min="4" max="4" width="2.75" customWidth="1"/>
    <col min="5" max="5" width="7" customWidth="1"/>
    <col min="6" max="6" width="1.75" customWidth="1"/>
    <col min="7" max="7" width="7" customWidth="1"/>
    <col min="8" max="8" width="9" customWidth="1"/>
    <col min="12" max="12" width="7.75" customWidth="1"/>
    <col min="13" max="13" width="2.75" customWidth="1"/>
    <col min="14" max="14" width="9" customWidth="1"/>
    <col min="15" max="15" width="3.75" customWidth="1"/>
  </cols>
  <sheetData>
    <row r="1" spans="1:13" ht="30" customHeight="1"/>
    <row r="2" spans="1:13" ht="33" customHeight="1"/>
    <row r="3" spans="1:13" s="28" customFormat="1" ht="13.5" customHeight="1">
      <c r="A3" s="107" t="s">
        <v>20</v>
      </c>
      <c r="J3" s="108" t="s">
        <v>21</v>
      </c>
      <c r="L3" s="1" t="s">
        <v>81</v>
      </c>
    </row>
    <row r="4" spans="1:13" s="28" customFormat="1" ht="13.5" customHeight="1"/>
    <row r="5" spans="1:13" s="28" customFormat="1" ht="18.75" customHeight="1">
      <c r="F5" s="86" t="s">
        <v>23</v>
      </c>
      <c r="G5" s="88"/>
      <c r="H5" s="88"/>
      <c r="I5" s="88"/>
      <c r="J5" s="293">
        <f>入力データ!C18</f>
        <v>0</v>
      </c>
      <c r="K5" s="293"/>
      <c r="L5" s="88" t="s">
        <v>24</v>
      </c>
      <c r="M5" s="89"/>
    </row>
    <row r="8" spans="1:13" ht="27.75" customHeight="1">
      <c r="A8" s="297" t="s">
        <v>82</v>
      </c>
      <c r="B8" s="297"/>
      <c r="C8" s="297"/>
      <c r="E8" s="107" t="s">
        <v>83</v>
      </c>
    </row>
    <row r="9" spans="1:13" ht="13.5" customHeight="1">
      <c r="A9" s="298">
        <v>11</v>
      </c>
      <c r="B9" s="299"/>
      <c r="C9" s="300"/>
      <c r="E9" s="107" t="s">
        <v>84</v>
      </c>
    </row>
    <row r="10" spans="1:13" ht="13.5" customHeight="1">
      <c r="A10" s="301"/>
      <c r="B10" s="302"/>
      <c r="C10" s="303"/>
      <c r="E10" s="107" t="s">
        <v>85</v>
      </c>
    </row>
    <row r="11" spans="1:13" ht="13.5" customHeight="1">
      <c r="A11" s="304"/>
      <c r="B11" s="305"/>
      <c r="C11" s="306"/>
      <c r="E11" s="107" t="s">
        <v>86</v>
      </c>
    </row>
    <row r="12" spans="1:13" ht="13.5" customHeight="1">
      <c r="C12" s="45"/>
      <c r="E12" s="1"/>
    </row>
    <row r="14" spans="1:13">
      <c r="A14" s="107" t="s">
        <v>87</v>
      </c>
    </row>
    <row r="15" spans="1:13">
      <c r="A15" s="107" t="s">
        <v>88</v>
      </c>
    </row>
    <row r="17" spans="1:13">
      <c r="A17" s="212"/>
      <c r="B17" s="295" t="s">
        <v>89</v>
      </c>
      <c r="C17" s="295"/>
      <c r="D17" s="295"/>
      <c r="E17" s="295"/>
      <c r="F17" s="295"/>
      <c r="G17" s="295"/>
      <c r="H17" s="295"/>
      <c r="I17" s="295"/>
      <c r="J17" s="295"/>
      <c r="K17" s="295"/>
      <c r="L17" s="295"/>
      <c r="M17" s="212"/>
    </row>
    <row r="18" spans="1:13">
      <c r="A18" s="212"/>
      <c r="B18" s="295"/>
      <c r="C18" s="295"/>
      <c r="D18" s="295"/>
      <c r="E18" s="295"/>
      <c r="F18" s="295"/>
      <c r="G18" s="295"/>
      <c r="H18" s="295"/>
      <c r="I18" s="295"/>
      <c r="J18" s="295"/>
      <c r="K18" s="295"/>
      <c r="L18" s="295"/>
      <c r="M18" s="212"/>
    </row>
    <row r="19" spans="1:13">
      <c r="A19" s="26"/>
      <c r="B19" s="320" t="str">
        <f>LOOKUP(A9,個性数!A3:A14,個性数!C3:C14)</f>
        <v>「１」の「自信」と「２」の「セルフイメージ＝過小評価」、２つのキーワードが潜在のテーマ。
どこか地に足が着かない不安定さから、自信を得るまでに時間を要する反面、常識には縛られない独自の感性と、大胆な発想力を持ちます。
感受性が強く、繊細。ひらめき、直観を優先させます。</v>
      </c>
      <c r="C19" s="320"/>
      <c r="D19" s="320"/>
      <c r="E19" s="320"/>
      <c r="F19" s="320"/>
      <c r="G19" s="320"/>
      <c r="H19" s="320"/>
      <c r="I19" s="320"/>
      <c r="J19" s="320"/>
      <c r="K19" s="320"/>
      <c r="L19" s="320"/>
      <c r="M19" s="3"/>
    </row>
    <row r="20" spans="1:13">
      <c r="A20" s="27"/>
      <c r="B20" s="230"/>
      <c r="C20" s="230"/>
      <c r="D20" s="230"/>
      <c r="E20" s="230"/>
      <c r="F20" s="230"/>
      <c r="G20" s="230"/>
      <c r="H20" s="230"/>
      <c r="I20" s="230"/>
      <c r="J20" s="230"/>
      <c r="K20" s="230"/>
      <c r="L20" s="230"/>
      <c r="M20" s="10"/>
    </row>
    <row r="21" spans="1:13">
      <c r="A21" s="27"/>
      <c r="B21" s="230"/>
      <c r="C21" s="230"/>
      <c r="D21" s="230"/>
      <c r="E21" s="230"/>
      <c r="F21" s="230"/>
      <c r="G21" s="230"/>
      <c r="H21" s="230"/>
      <c r="I21" s="230"/>
      <c r="J21" s="230"/>
      <c r="K21" s="230"/>
      <c r="L21" s="230"/>
      <c r="M21" s="10"/>
    </row>
    <row r="22" spans="1:13">
      <c r="A22" s="27"/>
      <c r="B22" s="230"/>
      <c r="C22" s="230"/>
      <c r="D22" s="230"/>
      <c r="E22" s="230"/>
      <c r="F22" s="230"/>
      <c r="G22" s="230"/>
      <c r="H22" s="230"/>
      <c r="I22" s="230"/>
      <c r="J22" s="230"/>
      <c r="K22" s="230"/>
      <c r="L22" s="230"/>
      <c r="M22" s="10"/>
    </row>
    <row r="23" spans="1:13">
      <c r="A23" s="27"/>
      <c r="B23" s="230"/>
      <c r="C23" s="230"/>
      <c r="D23" s="230"/>
      <c r="E23" s="230"/>
      <c r="F23" s="230"/>
      <c r="G23" s="230"/>
      <c r="H23" s="230"/>
      <c r="I23" s="230"/>
      <c r="J23" s="230"/>
      <c r="K23" s="230"/>
      <c r="L23" s="230"/>
      <c r="M23" s="10"/>
    </row>
    <row r="24" spans="1:13" ht="13.15" customHeight="1">
      <c r="A24" s="4"/>
      <c r="B24" s="321"/>
      <c r="C24" s="321"/>
      <c r="D24" s="321"/>
      <c r="E24" s="321"/>
      <c r="F24" s="321"/>
      <c r="G24" s="321"/>
      <c r="H24" s="321"/>
      <c r="I24" s="321"/>
      <c r="J24" s="321"/>
      <c r="K24" s="321"/>
      <c r="L24" s="321"/>
      <c r="M24" s="6"/>
    </row>
    <row r="25" spans="1:13" ht="13.5" customHeight="1"/>
    <row r="27" spans="1:13">
      <c r="A27" s="212"/>
      <c r="B27" s="295" t="s">
        <v>90</v>
      </c>
      <c r="C27" s="295"/>
      <c r="D27" s="295"/>
      <c r="E27" s="295"/>
      <c r="F27" s="295"/>
      <c r="G27" s="295"/>
      <c r="H27" s="295"/>
      <c r="I27" s="295"/>
      <c r="J27" s="295"/>
      <c r="K27" s="295"/>
      <c r="L27" s="295"/>
      <c r="M27" s="212"/>
    </row>
    <row r="28" spans="1:13">
      <c r="A28" s="212"/>
      <c r="B28" s="295"/>
      <c r="C28" s="295"/>
      <c r="D28" s="295"/>
      <c r="E28" s="295"/>
      <c r="F28" s="295"/>
      <c r="G28" s="295"/>
      <c r="H28" s="295"/>
      <c r="I28" s="295"/>
      <c r="J28" s="295"/>
      <c r="K28" s="295"/>
      <c r="L28" s="295"/>
      <c r="M28" s="212"/>
    </row>
    <row r="29" spans="1:13" ht="13.9" customHeight="1">
      <c r="A29" s="26"/>
      <c r="B29" s="320" t="str">
        <f>LOOKUP(A9,個性数!A3:A14,個性数!E3:E14)</f>
        <v>特に１１の中の１のエネルギーが強まり、「自分が率先して精神の向上を促さなければ」との思い込みから、人をコントロールしたり依存させる傾向になります。
精神世界に傾き過ぎることでアンバランスを体験します。</v>
      </c>
      <c r="C29" s="320"/>
      <c r="D29" s="320"/>
      <c r="E29" s="320"/>
      <c r="F29" s="320"/>
      <c r="G29" s="320"/>
      <c r="H29" s="320"/>
      <c r="I29" s="320"/>
      <c r="J29" s="320"/>
      <c r="K29" s="320"/>
      <c r="L29" s="320"/>
      <c r="M29" s="3"/>
    </row>
    <row r="30" spans="1:13" ht="13.9" customHeight="1">
      <c r="A30" s="27"/>
      <c r="B30" s="230"/>
      <c r="C30" s="230"/>
      <c r="D30" s="230"/>
      <c r="E30" s="230"/>
      <c r="F30" s="230"/>
      <c r="G30" s="230"/>
      <c r="H30" s="230"/>
      <c r="I30" s="230"/>
      <c r="J30" s="230"/>
      <c r="K30" s="230"/>
      <c r="L30" s="230"/>
      <c r="M30" s="10"/>
    </row>
    <row r="31" spans="1:13" ht="13.9" customHeight="1">
      <c r="A31" s="27"/>
      <c r="B31" s="230"/>
      <c r="C31" s="230"/>
      <c r="D31" s="230"/>
      <c r="E31" s="230"/>
      <c r="F31" s="230"/>
      <c r="G31" s="230"/>
      <c r="H31" s="230"/>
      <c r="I31" s="230"/>
      <c r="J31" s="230"/>
      <c r="K31" s="230"/>
      <c r="L31" s="230"/>
      <c r="M31" s="10"/>
    </row>
    <row r="32" spans="1:13" ht="13.9" customHeight="1">
      <c r="A32" s="4"/>
      <c r="B32" s="321"/>
      <c r="C32" s="321"/>
      <c r="D32" s="321"/>
      <c r="E32" s="321"/>
      <c r="F32" s="321"/>
      <c r="G32" s="321"/>
      <c r="H32" s="321"/>
      <c r="I32" s="321"/>
      <c r="J32" s="321"/>
      <c r="K32" s="321"/>
      <c r="L32" s="321"/>
      <c r="M32" s="6"/>
    </row>
    <row r="35" spans="1:13">
      <c r="A35" s="212"/>
      <c r="B35" s="295" t="s">
        <v>91</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ht="13.9" customHeight="1">
      <c r="A37" s="26"/>
      <c r="B37" s="320" t="str">
        <f>LOOKUP(A9,個性数!A3:A14,個性数!F3:F14)</f>
        <v>特に１１の中の２のエネルギーが強まり、自分を過小評価し「現実世界に生きづらい」、
「認められない不安定さ」を体験します。</v>
      </c>
      <c r="C37" s="320"/>
      <c r="D37" s="320"/>
      <c r="E37" s="320"/>
      <c r="F37" s="320"/>
      <c r="G37" s="320"/>
      <c r="H37" s="320"/>
      <c r="I37" s="320"/>
      <c r="J37" s="320"/>
      <c r="K37" s="320"/>
      <c r="L37" s="320"/>
      <c r="M37" s="3"/>
    </row>
    <row r="38" spans="1:13" ht="13.9" customHeight="1">
      <c r="A38" s="27"/>
      <c r="B38" s="230"/>
      <c r="C38" s="230"/>
      <c r="D38" s="230"/>
      <c r="E38" s="230"/>
      <c r="F38" s="230"/>
      <c r="G38" s="230"/>
      <c r="H38" s="230"/>
      <c r="I38" s="230"/>
      <c r="J38" s="230"/>
      <c r="K38" s="230"/>
      <c r="L38" s="230"/>
      <c r="M38" s="10"/>
    </row>
    <row r="39" spans="1:13" ht="13.9" customHeight="1">
      <c r="A39" s="27"/>
      <c r="B39" s="230"/>
      <c r="C39" s="230"/>
      <c r="D39" s="230"/>
      <c r="E39" s="230"/>
      <c r="F39" s="230"/>
      <c r="G39" s="230"/>
      <c r="H39" s="230"/>
      <c r="I39" s="230"/>
      <c r="J39" s="230"/>
      <c r="K39" s="230"/>
      <c r="L39" s="230"/>
      <c r="M39" s="10"/>
    </row>
    <row r="40" spans="1:13" ht="13.9" customHeight="1">
      <c r="A40" s="4"/>
      <c r="B40" s="321"/>
      <c r="C40" s="321"/>
      <c r="D40" s="321"/>
      <c r="E40" s="321"/>
      <c r="F40" s="321"/>
      <c r="G40" s="321"/>
      <c r="H40" s="321"/>
      <c r="I40" s="321"/>
      <c r="J40" s="321"/>
      <c r="K40" s="321"/>
      <c r="L40" s="321"/>
      <c r="M40" s="6"/>
    </row>
    <row r="43" spans="1:13">
      <c r="B43" s="39"/>
    </row>
    <row r="46" spans="1:13">
      <c r="A46" s="13"/>
    </row>
    <row r="48" spans="1:13" ht="13.5" customHeight="1">
      <c r="A48" s="39" t="s">
        <v>76</v>
      </c>
      <c r="B48" s="106"/>
      <c r="F48" s="322" t="s">
        <v>92</v>
      </c>
      <c r="G48" s="322"/>
      <c r="H48" s="322"/>
      <c r="I48" s="322"/>
      <c r="J48" s="322"/>
      <c r="K48" s="322"/>
      <c r="L48" s="322"/>
      <c r="M48" s="322"/>
    </row>
    <row r="49" spans="1:13" ht="13.5" customHeight="1">
      <c r="F49" s="322"/>
      <c r="G49" s="322"/>
      <c r="H49" s="322"/>
      <c r="I49" s="322"/>
      <c r="J49" s="322"/>
      <c r="K49" s="322"/>
      <c r="L49" s="322"/>
      <c r="M49" s="322"/>
    </row>
    <row r="50" spans="1:13" ht="13.5" customHeight="1">
      <c r="A50" s="107" t="s">
        <v>93</v>
      </c>
      <c r="F50" s="26"/>
      <c r="G50" s="320" t="str">
        <f>LOOKUP(A9,体験ｽﾄｰﾘｰ!A2:A14,体験ｽﾄｰﾘｰ!D2:D14)</f>
        <v>「独自の感性の違いから疎外感を感じやすい」
あなたが生まれ持った感受性を活かせる場所はどこですか？</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ht="13.5" customHeight="1">
      <c r="F53" s="27"/>
      <c r="G53" s="230"/>
      <c r="H53" s="230"/>
      <c r="I53" s="230"/>
      <c r="J53" s="230"/>
      <c r="K53" s="230"/>
      <c r="L53" s="230"/>
      <c r="M53" s="10"/>
    </row>
    <row r="54" spans="1:13" ht="13.5" customHeight="1">
      <c r="F54" s="27"/>
      <c r="G54" s="323" t="str">
        <f>LOOKUP(A9,体験ｽﾄｰﾘｰ!A2:A14,体験ｽﾄｰﾘｰ!E2:E14)</f>
        <v>「自分の軸の整え方を学ぶストーリー」</v>
      </c>
      <c r="H54" s="323"/>
      <c r="I54" s="323"/>
      <c r="J54" s="323"/>
      <c r="K54" s="323"/>
      <c r="L54" s="323"/>
      <c r="M54" s="10"/>
    </row>
    <row r="55" spans="1:13">
      <c r="F55" s="4"/>
      <c r="G55" s="324"/>
      <c r="H55" s="324"/>
      <c r="I55" s="324"/>
      <c r="J55" s="324"/>
      <c r="K55" s="324"/>
      <c r="L55" s="324"/>
      <c r="M55" s="6"/>
    </row>
    <row r="56" spans="1:13">
      <c r="G56" s="47"/>
      <c r="H56" s="47"/>
      <c r="I56" s="47"/>
      <c r="J56" s="47"/>
      <c r="K56" s="47"/>
      <c r="L56" s="47"/>
    </row>
    <row r="57" spans="1:13">
      <c r="G57" s="47"/>
      <c r="H57" s="47"/>
      <c r="I57" s="47"/>
      <c r="J57" s="47"/>
      <c r="K57" s="47"/>
      <c r="L57" s="47"/>
    </row>
    <row r="59" spans="1:13">
      <c r="E59" s="13" t="s">
        <v>95</v>
      </c>
      <c r="G59" s="13"/>
      <c r="H59" s="13"/>
      <c r="I59" s="13"/>
      <c r="J59" s="13"/>
      <c r="K59" s="13"/>
    </row>
    <row r="61" spans="1:13" ht="30" customHeight="1"/>
  </sheetData>
  <sheetProtection selectLockedCells="1"/>
  <mergeCells count="12">
    <mergeCell ref="G54:L55"/>
    <mergeCell ref="J5:K5"/>
    <mergeCell ref="A8:C8"/>
    <mergeCell ref="A9:C11"/>
    <mergeCell ref="B17:L18"/>
    <mergeCell ref="B19:L24"/>
    <mergeCell ref="B27:L28"/>
    <mergeCell ref="B29:L32"/>
    <mergeCell ref="B35:L36"/>
    <mergeCell ref="B37:L40"/>
    <mergeCell ref="F48:M49"/>
    <mergeCell ref="G50:L53"/>
  </mergeCells>
  <phoneticPr fontId="1"/>
  <pageMargins left="0.9055118110236221" right="0.51181102362204722" top="0.15748031496062992" bottom="0.15748031496062992" header="0" footer="0"/>
  <pageSetup paperSize="9" scale="99" fitToWidth="0" orientation="portrait"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4">
    <tabColor theme="7"/>
    <pageSetUpPr fitToPage="1"/>
  </sheetPr>
  <dimension ref="A1:M61"/>
  <sheetViews>
    <sheetView zoomScale="88" zoomScaleNormal="88" workbookViewId="0">
      <selection activeCell="F48" sqref="F48:M49"/>
    </sheetView>
  </sheetViews>
  <sheetFormatPr defaultRowHeight="13.5"/>
  <cols>
    <col min="1" max="1" width="2.75" customWidth="1"/>
    <col min="2" max="2" width="6" customWidth="1"/>
    <col min="4" max="4" width="2.75" customWidth="1"/>
    <col min="5" max="5" width="7" customWidth="1"/>
    <col min="6" max="6" width="1.75" customWidth="1"/>
    <col min="7" max="7" width="7" customWidth="1"/>
    <col min="8" max="8" width="9" customWidth="1"/>
    <col min="12" max="12" width="7.75" customWidth="1"/>
    <col min="13" max="13" width="2.75" customWidth="1"/>
    <col min="14" max="14" width="9" customWidth="1"/>
    <col min="15" max="15" width="3.75" customWidth="1"/>
  </cols>
  <sheetData>
    <row r="1" spans="1:13" ht="30" customHeight="1"/>
    <row r="2" spans="1:13" ht="33" customHeight="1"/>
    <row r="3" spans="1:13" s="28" customFormat="1" ht="13.5" customHeight="1">
      <c r="A3" s="107" t="s">
        <v>20</v>
      </c>
      <c r="J3" s="108" t="s">
        <v>21</v>
      </c>
      <c r="L3" s="1" t="s">
        <v>81</v>
      </c>
    </row>
    <row r="4" spans="1:13" s="28" customFormat="1" ht="13.5" customHeight="1"/>
    <row r="5" spans="1:13" s="28" customFormat="1" ht="18.75" customHeight="1">
      <c r="F5" s="86" t="s">
        <v>23</v>
      </c>
      <c r="G5" s="88"/>
      <c r="H5" s="88"/>
      <c r="I5" s="88"/>
      <c r="J5" s="293">
        <f>入力データ!C18</f>
        <v>0</v>
      </c>
      <c r="K5" s="293"/>
      <c r="L5" s="88" t="s">
        <v>24</v>
      </c>
      <c r="M5" s="89"/>
    </row>
    <row r="8" spans="1:13" ht="27.75" customHeight="1">
      <c r="A8" s="297" t="s">
        <v>82</v>
      </c>
      <c r="B8" s="297"/>
      <c r="C8" s="297"/>
      <c r="E8" s="107" t="s">
        <v>83</v>
      </c>
    </row>
    <row r="9" spans="1:13" ht="13.5" customHeight="1">
      <c r="A9" s="298">
        <v>22</v>
      </c>
      <c r="B9" s="299"/>
      <c r="C9" s="300"/>
      <c r="E9" s="107" t="s">
        <v>84</v>
      </c>
    </row>
    <row r="10" spans="1:13" ht="13.5" customHeight="1">
      <c r="A10" s="301"/>
      <c r="B10" s="302"/>
      <c r="C10" s="303"/>
      <c r="E10" s="107" t="s">
        <v>85</v>
      </c>
    </row>
    <row r="11" spans="1:13" ht="13.5" customHeight="1">
      <c r="A11" s="304"/>
      <c r="B11" s="305"/>
      <c r="C11" s="306"/>
      <c r="E11" s="107" t="s">
        <v>86</v>
      </c>
    </row>
    <row r="12" spans="1:13" ht="13.5" customHeight="1">
      <c r="C12" s="45"/>
      <c r="E12" s="1"/>
    </row>
    <row r="14" spans="1:13">
      <c r="A14" s="107" t="s">
        <v>87</v>
      </c>
    </row>
    <row r="15" spans="1:13">
      <c r="A15" s="107" t="s">
        <v>88</v>
      </c>
    </row>
    <row r="17" spans="1:13">
      <c r="A17" s="212"/>
      <c r="B17" s="295" t="s">
        <v>89</v>
      </c>
      <c r="C17" s="295"/>
      <c r="D17" s="295"/>
      <c r="E17" s="295"/>
      <c r="F17" s="295"/>
      <c r="G17" s="295"/>
      <c r="H17" s="295"/>
      <c r="I17" s="295"/>
      <c r="J17" s="295"/>
      <c r="K17" s="295"/>
      <c r="L17" s="295"/>
      <c r="M17" s="212"/>
    </row>
    <row r="18" spans="1:13">
      <c r="A18" s="212"/>
      <c r="B18" s="295"/>
      <c r="C18" s="295"/>
      <c r="D18" s="295"/>
      <c r="E18" s="295"/>
      <c r="F18" s="295"/>
      <c r="G18" s="295"/>
      <c r="H18" s="295"/>
      <c r="I18" s="295"/>
      <c r="J18" s="295"/>
      <c r="K18" s="295"/>
      <c r="L18" s="295"/>
      <c r="M18" s="212"/>
    </row>
    <row r="19" spans="1:13">
      <c r="A19" s="26"/>
      <c r="B19" s="320" t="str">
        <f>LOOKUP(A9,個性数!A3:A14,個性数!C3:C14)</f>
        <v>「２」の「セルフイメージ＝過小評価」と「４」の「過大なる期待を背負う」、２つのキーワードが潜在のテーマ。常識の世界では収まりきらない発想力でこれまでにない世界を構築します。           　　　　　　　　　　　　　　　　　　　　　　　　　　　　　　　　　　　　　　　　　　　                                                      真面目で現実的な思考を持つ反面、型破りで大胆な行動力を持ちます。自分の芯をしっかりと内に秘めている人。大舞台で自分を発揮することで、本来のあなたが輝きます。</v>
      </c>
      <c r="C19" s="320"/>
      <c r="D19" s="320"/>
      <c r="E19" s="320"/>
      <c r="F19" s="320"/>
      <c r="G19" s="320"/>
      <c r="H19" s="320"/>
      <c r="I19" s="320"/>
      <c r="J19" s="320"/>
      <c r="K19" s="320"/>
      <c r="L19" s="320"/>
      <c r="M19" s="3"/>
    </row>
    <row r="20" spans="1:13">
      <c r="A20" s="27"/>
      <c r="B20" s="230"/>
      <c r="C20" s="230"/>
      <c r="D20" s="230"/>
      <c r="E20" s="230"/>
      <c r="F20" s="230"/>
      <c r="G20" s="230"/>
      <c r="H20" s="230"/>
      <c r="I20" s="230"/>
      <c r="J20" s="230"/>
      <c r="K20" s="230"/>
      <c r="L20" s="230"/>
      <c r="M20" s="10"/>
    </row>
    <row r="21" spans="1:13">
      <c r="A21" s="27"/>
      <c r="B21" s="230"/>
      <c r="C21" s="230"/>
      <c r="D21" s="230"/>
      <c r="E21" s="230"/>
      <c r="F21" s="230"/>
      <c r="G21" s="230"/>
      <c r="H21" s="230"/>
      <c r="I21" s="230"/>
      <c r="J21" s="230"/>
      <c r="K21" s="230"/>
      <c r="L21" s="230"/>
      <c r="M21" s="10"/>
    </row>
    <row r="22" spans="1:13">
      <c r="A22" s="27"/>
      <c r="B22" s="230"/>
      <c r="C22" s="230"/>
      <c r="D22" s="230"/>
      <c r="E22" s="230"/>
      <c r="F22" s="230"/>
      <c r="G22" s="230"/>
      <c r="H22" s="230"/>
      <c r="I22" s="230"/>
      <c r="J22" s="230"/>
      <c r="K22" s="230"/>
      <c r="L22" s="230"/>
      <c r="M22" s="10"/>
    </row>
    <row r="23" spans="1:13">
      <c r="A23" s="27"/>
      <c r="B23" s="230"/>
      <c r="C23" s="230"/>
      <c r="D23" s="230"/>
      <c r="E23" s="230"/>
      <c r="F23" s="230"/>
      <c r="G23" s="230"/>
      <c r="H23" s="230"/>
      <c r="I23" s="230"/>
      <c r="J23" s="230"/>
      <c r="K23" s="230"/>
      <c r="L23" s="230"/>
      <c r="M23" s="10"/>
    </row>
    <row r="24" spans="1:13" ht="13.15" customHeight="1">
      <c r="A24" s="4"/>
      <c r="B24" s="321"/>
      <c r="C24" s="321"/>
      <c r="D24" s="321"/>
      <c r="E24" s="321"/>
      <c r="F24" s="321"/>
      <c r="G24" s="321"/>
      <c r="H24" s="321"/>
      <c r="I24" s="321"/>
      <c r="J24" s="321"/>
      <c r="K24" s="321"/>
      <c r="L24" s="321"/>
      <c r="M24" s="6"/>
    </row>
    <row r="25" spans="1:13" ht="13.5" customHeight="1"/>
    <row r="27" spans="1:13">
      <c r="A27" s="212"/>
      <c r="B27" s="295" t="s">
        <v>90</v>
      </c>
      <c r="C27" s="295"/>
      <c r="D27" s="295"/>
      <c r="E27" s="295"/>
      <c r="F27" s="295"/>
      <c r="G27" s="295"/>
      <c r="H27" s="295"/>
      <c r="I27" s="295"/>
      <c r="J27" s="295"/>
      <c r="K27" s="295"/>
      <c r="L27" s="295"/>
      <c r="M27" s="212"/>
    </row>
    <row r="28" spans="1:13">
      <c r="A28" s="212"/>
      <c r="B28" s="295"/>
      <c r="C28" s="295"/>
      <c r="D28" s="295"/>
      <c r="E28" s="295"/>
      <c r="F28" s="295"/>
      <c r="G28" s="295"/>
      <c r="H28" s="295"/>
      <c r="I28" s="295"/>
      <c r="J28" s="295"/>
      <c r="K28" s="295"/>
      <c r="L28" s="295"/>
      <c r="M28" s="212"/>
    </row>
    <row r="29" spans="1:13" ht="13.9" customHeight="1">
      <c r="A29" s="26"/>
      <c r="B29" s="320" t="str">
        <f>LOOKUP(A9,個性数!A3:A14,個性数!E3:E14)</f>
        <v>新たな現実世界を構築する指導力・強固な意志力、自信溢れる言動、カリスマ性が極端に称賛される、または、遠い存在に感じられる、嫉妬されるなど、
いずれにしても注目を浴びます。</v>
      </c>
      <c r="C29" s="320"/>
      <c r="D29" s="320"/>
      <c r="E29" s="320"/>
      <c r="F29" s="320"/>
      <c r="G29" s="320"/>
      <c r="H29" s="320"/>
      <c r="I29" s="320"/>
      <c r="J29" s="320"/>
      <c r="K29" s="320"/>
      <c r="L29" s="320"/>
      <c r="M29" s="3"/>
    </row>
    <row r="30" spans="1:13" ht="13.9" customHeight="1">
      <c r="A30" s="27"/>
      <c r="B30" s="230"/>
      <c r="C30" s="230"/>
      <c r="D30" s="230"/>
      <c r="E30" s="230"/>
      <c r="F30" s="230"/>
      <c r="G30" s="230"/>
      <c r="H30" s="230"/>
      <c r="I30" s="230"/>
      <c r="J30" s="230"/>
      <c r="K30" s="230"/>
      <c r="L30" s="230"/>
      <c r="M30" s="10"/>
    </row>
    <row r="31" spans="1:13" ht="13.9" customHeight="1">
      <c r="A31" s="27"/>
      <c r="B31" s="230"/>
      <c r="C31" s="230"/>
      <c r="D31" s="230"/>
      <c r="E31" s="230"/>
      <c r="F31" s="230"/>
      <c r="G31" s="230"/>
      <c r="H31" s="230"/>
      <c r="I31" s="230"/>
      <c r="J31" s="230"/>
      <c r="K31" s="230"/>
      <c r="L31" s="230"/>
      <c r="M31" s="10"/>
    </row>
    <row r="32" spans="1:13" ht="13.9" customHeight="1">
      <c r="A32" s="4"/>
      <c r="B32" s="321"/>
      <c r="C32" s="321"/>
      <c r="D32" s="321"/>
      <c r="E32" s="321"/>
      <c r="F32" s="321"/>
      <c r="G32" s="321"/>
      <c r="H32" s="321"/>
      <c r="I32" s="321"/>
      <c r="J32" s="321"/>
      <c r="K32" s="321"/>
      <c r="L32" s="321"/>
      <c r="M32" s="6"/>
    </row>
    <row r="35" spans="1:13">
      <c r="A35" s="212"/>
      <c r="B35" s="295" t="s">
        <v>91</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ht="13.9" customHeight="1">
      <c r="A37" s="26"/>
      <c r="B37" s="320" t="str">
        <f>LOOKUP(A9,個性数!A3:A14,個性数!F3:F14)</f>
        <v>本来の自分らしさが表に出ることをあきらめ、自分を目立たないようにする。
自分の発信力、影響力に抵抗を感じ、大勢の中に身を置くことから距離を置くようになります。</v>
      </c>
      <c r="C37" s="320"/>
      <c r="D37" s="320"/>
      <c r="E37" s="320"/>
      <c r="F37" s="320"/>
      <c r="G37" s="320"/>
      <c r="H37" s="320"/>
      <c r="I37" s="320"/>
      <c r="J37" s="320"/>
      <c r="K37" s="320"/>
      <c r="L37" s="320"/>
      <c r="M37" s="3"/>
    </row>
    <row r="38" spans="1:13" ht="13.9" customHeight="1">
      <c r="A38" s="27"/>
      <c r="B38" s="230"/>
      <c r="C38" s="230"/>
      <c r="D38" s="230"/>
      <c r="E38" s="230"/>
      <c r="F38" s="230"/>
      <c r="G38" s="230"/>
      <c r="H38" s="230"/>
      <c r="I38" s="230"/>
      <c r="J38" s="230"/>
      <c r="K38" s="230"/>
      <c r="L38" s="230"/>
      <c r="M38" s="10"/>
    </row>
    <row r="39" spans="1:13" ht="13.9" customHeight="1">
      <c r="A39" s="27"/>
      <c r="B39" s="230"/>
      <c r="C39" s="230"/>
      <c r="D39" s="230"/>
      <c r="E39" s="230"/>
      <c r="F39" s="230"/>
      <c r="G39" s="230"/>
      <c r="H39" s="230"/>
      <c r="I39" s="230"/>
      <c r="J39" s="230"/>
      <c r="K39" s="230"/>
      <c r="L39" s="230"/>
      <c r="M39" s="10"/>
    </row>
    <row r="40" spans="1:13" ht="13.9" customHeight="1">
      <c r="A40" s="4"/>
      <c r="B40" s="321"/>
      <c r="C40" s="321"/>
      <c r="D40" s="321"/>
      <c r="E40" s="321"/>
      <c r="F40" s="321"/>
      <c r="G40" s="321"/>
      <c r="H40" s="321"/>
      <c r="I40" s="321"/>
      <c r="J40" s="321"/>
      <c r="K40" s="321"/>
      <c r="L40" s="321"/>
      <c r="M40" s="6"/>
    </row>
    <row r="43" spans="1:13">
      <c r="B43" s="39"/>
    </row>
    <row r="46" spans="1:13">
      <c r="A46" s="13"/>
    </row>
    <row r="48" spans="1:13" ht="13.5" customHeight="1">
      <c r="A48" s="39" t="s">
        <v>76</v>
      </c>
      <c r="B48" s="106"/>
      <c r="F48" s="322" t="s">
        <v>92</v>
      </c>
      <c r="G48" s="322"/>
      <c r="H48" s="322"/>
      <c r="I48" s="322"/>
      <c r="J48" s="322"/>
      <c r="K48" s="322"/>
      <c r="L48" s="322"/>
      <c r="M48" s="322"/>
    </row>
    <row r="49" spans="1:13" ht="13.5" customHeight="1">
      <c r="F49" s="322"/>
      <c r="G49" s="322"/>
      <c r="H49" s="322"/>
      <c r="I49" s="322"/>
      <c r="J49" s="322"/>
      <c r="K49" s="322"/>
      <c r="L49" s="322"/>
      <c r="M49" s="322"/>
    </row>
    <row r="50" spans="1:13" ht="13.5" customHeight="1">
      <c r="A50" s="107" t="s">
        <v>93</v>
      </c>
      <c r="F50" s="26"/>
      <c r="G50" s="320" t="str">
        <f>LOOKUP(A9,体験ｽﾄｰﾘｰ!A2:A14,体験ｽﾄｰﾘｰ!D2:D14)</f>
        <v>「正義のために行動する」「実行力・実現力に優れている」
本来のあなたを発揮するときはいつですか？</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ht="13.5" customHeight="1">
      <c r="F53" s="27"/>
      <c r="G53" s="230"/>
      <c r="H53" s="230"/>
      <c r="I53" s="230"/>
      <c r="J53" s="230"/>
      <c r="K53" s="230"/>
      <c r="L53" s="230"/>
      <c r="M53" s="10"/>
    </row>
    <row r="54" spans="1:13" ht="13.5" customHeight="1">
      <c r="F54" s="27"/>
      <c r="G54" s="323" t="str">
        <f>LOOKUP(A9,体験ｽﾄｰﾘｰ!A2:A14,体験ｽﾄｰﾘｰ!E2:E14)</f>
        <v>「自分の中の強い精神力、カリスマ性と向き合うストーリー」</v>
      </c>
      <c r="H54" s="323"/>
      <c r="I54" s="323"/>
      <c r="J54" s="323"/>
      <c r="K54" s="323"/>
      <c r="L54" s="323"/>
      <c r="M54" s="10"/>
    </row>
    <row r="55" spans="1:13">
      <c r="F55" s="4"/>
      <c r="G55" s="324"/>
      <c r="H55" s="324"/>
      <c r="I55" s="324"/>
      <c r="J55" s="324"/>
      <c r="K55" s="324"/>
      <c r="L55" s="324"/>
      <c r="M55" s="6"/>
    </row>
    <row r="56" spans="1:13">
      <c r="G56" s="47"/>
      <c r="H56" s="47"/>
      <c r="I56" s="47"/>
      <c r="J56" s="47"/>
      <c r="K56" s="47"/>
      <c r="L56" s="47"/>
    </row>
    <row r="57" spans="1:13">
      <c r="G57" s="47"/>
      <c r="H57" s="47"/>
      <c r="I57" s="47"/>
      <c r="J57" s="47"/>
      <c r="K57" s="47"/>
      <c r="L57" s="47"/>
    </row>
    <row r="59" spans="1:13">
      <c r="E59" s="13" t="s">
        <v>94</v>
      </c>
      <c r="G59" s="13"/>
      <c r="H59" s="13"/>
      <c r="I59" s="13"/>
      <c r="J59" s="13"/>
      <c r="K59" s="13"/>
    </row>
    <row r="61" spans="1:13" ht="30" customHeight="1"/>
  </sheetData>
  <sheetProtection selectLockedCells="1"/>
  <mergeCells count="12">
    <mergeCell ref="G54:L55"/>
    <mergeCell ref="J5:K5"/>
    <mergeCell ref="A8:C8"/>
    <mergeCell ref="A9:C11"/>
    <mergeCell ref="B17:L18"/>
    <mergeCell ref="B19:L24"/>
    <mergeCell ref="B27:L28"/>
    <mergeCell ref="B29:L32"/>
    <mergeCell ref="B35:L36"/>
    <mergeCell ref="B37:L40"/>
    <mergeCell ref="F48:M49"/>
    <mergeCell ref="G50:L53"/>
  </mergeCells>
  <phoneticPr fontId="1"/>
  <pageMargins left="0.9055118110236221" right="0.51181102362204722" top="0.15748031496062992" bottom="0.15748031496062992" header="0" footer="0"/>
  <pageSetup paperSize="9" scale="99" fitToWidth="0" orientation="portrait" horizontalDpi="429496729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F0"/>
    <pageSetUpPr fitToPage="1"/>
  </sheetPr>
  <dimension ref="A1:M61"/>
  <sheetViews>
    <sheetView zoomScale="86" zoomScaleNormal="86" workbookViewId="0">
      <selection activeCell="M49" sqref="M49"/>
    </sheetView>
  </sheetViews>
  <sheetFormatPr defaultRowHeight="13.5"/>
  <cols>
    <col min="1" max="1" width="2.75" customWidth="1"/>
    <col min="2" max="2" width="7" customWidth="1"/>
    <col min="4" max="4" width="2.75" customWidth="1"/>
    <col min="5" max="5" width="7" customWidth="1"/>
    <col min="6" max="6" width="2.75" customWidth="1"/>
    <col min="7" max="7" width="7" customWidth="1"/>
    <col min="8" max="8" width="9" customWidth="1"/>
    <col min="12" max="12" width="7" customWidth="1"/>
    <col min="13" max="13" width="2.75" customWidth="1"/>
    <col min="14" max="14" width="9" customWidth="1"/>
  </cols>
  <sheetData>
    <row r="1" spans="1:12" ht="30" customHeight="1"/>
    <row r="2" spans="1:12" ht="33" customHeight="1"/>
    <row r="3" spans="1:12" s="28" customFormat="1" ht="13.5" customHeight="1">
      <c r="A3" s="107" t="s">
        <v>20</v>
      </c>
      <c r="J3" s="108" t="s">
        <v>21</v>
      </c>
      <c r="L3" s="1" t="s">
        <v>96</v>
      </c>
    </row>
    <row r="4" spans="1:12" s="28" customFormat="1" ht="13.5" customHeight="1"/>
    <row r="5" spans="1:12" s="28" customFormat="1" ht="18.75" customHeight="1">
      <c r="F5" s="86" t="s">
        <v>23</v>
      </c>
      <c r="G5" s="88"/>
      <c r="H5" s="88"/>
      <c r="I5" s="88"/>
      <c r="J5" s="293">
        <f>入力データ!C18</f>
        <v>0</v>
      </c>
      <c r="K5" s="293"/>
      <c r="L5" s="89" t="s">
        <v>24</v>
      </c>
    </row>
    <row r="8" spans="1:12" ht="27.75" customHeight="1">
      <c r="A8" s="297" t="s">
        <v>97</v>
      </c>
      <c r="B8" s="297"/>
      <c r="C8" s="297"/>
      <c r="E8" s="107" t="s">
        <v>98</v>
      </c>
    </row>
    <row r="9" spans="1:12" ht="13.5" customHeight="1">
      <c r="A9" s="298" t="str">
        <f>入力データ!Q19</f>
        <v/>
      </c>
      <c r="B9" s="299"/>
      <c r="C9" s="300"/>
    </row>
    <row r="10" spans="1:12" ht="13.5" customHeight="1">
      <c r="A10" s="301"/>
      <c r="B10" s="302"/>
      <c r="C10" s="303"/>
      <c r="E10" s="107" t="s">
        <v>99</v>
      </c>
    </row>
    <row r="11" spans="1:12" ht="13.5" customHeight="1">
      <c r="A11" s="304"/>
      <c r="B11" s="305"/>
      <c r="C11" s="306"/>
      <c r="E11" s="107" t="s">
        <v>100</v>
      </c>
    </row>
    <row r="12" spans="1:12" ht="13.5" customHeight="1">
      <c r="C12" s="45"/>
      <c r="E12" s="1"/>
    </row>
    <row r="14" spans="1:12">
      <c r="A14" s="110" t="s">
        <v>101</v>
      </c>
    </row>
    <row r="15" spans="1:12">
      <c r="A15" s="110" t="s">
        <v>102</v>
      </c>
    </row>
    <row r="17" spans="1:13">
      <c r="A17" s="212"/>
      <c r="B17" s="295" t="s">
        <v>103</v>
      </c>
      <c r="C17" s="295"/>
      <c r="D17" s="295"/>
      <c r="E17" s="295"/>
      <c r="F17" s="295"/>
      <c r="G17" s="295"/>
      <c r="H17" s="295"/>
      <c r="I17" s="295"/>
      <c r="J17" s="295"/>
      <c r="K17" s="295"/>
      <c r="L17" s="295"/>
      <c r="M17" s="212"/>
    </row>
    <row r="18" spans="1:13">
      <c r="A18" s="212"/>
      <c r="B18" s="295"/>
      <c r="C18" s="295"/>
      <c r="D18" s="295"/>
      <c r="E18" s="295"/>
      <c r="F18" s="295"/>
      <c r="G18" s="295"/>
      <c r="H18" s="295"/>
      <c r="I18" s="295"/>
      <c r="J18" s="295"/>
      <c r="K18" s="295"/>
      <c r="L18" s="295"/>
      <c r="M18" s="212"/>
    </row>
    <row r="19" spans="1:13">
      <c r="A19" s="26"/>
      <c r="B19" s="320" t="e">
        <f>LOOKUP(A9,個性数!A3:A14,個性数!D3:D14)</f>
        <v>#N/A</v>
      </c>
      <c r="C19" s="320"/>
      <c r="D19" s="320"/>
      <c r="E19" s="320"/>
      <c r="F19" s="320"/>
      <c r="G19" s="320"/>
      <c r="H19" s="320"/>
      <c r="I19" s="320"/>
      <c r="J19" s="320"/>
      <c r="K19" s="320"/>
      <c r="L19" s="320"/>
      <c r="M19" s="3"/>
    </row>
    <row r="20" spans="1:13">
      <c r="A20" s="27"/>
      <c r="B20" s="230"/>
      <c r="C20" s="230"/>
      <c r="D20" s="230"/>
      <c r="E20" s="230"/>
      <c r="F20" s="230"/>
      <c r="G20" s="230"/>
      <c r="H20" s="230"/>
      <c r="I20" s="230"/>
      <c r="J20" s="230"/>
      <c r="K20" s="230"/>
      <c r="L20" s="230"/>
      <c r="M20" s="10"/>
    </row>
    <row r="21" spans="1:13">
      <c r="A21" s="27"/>
      <c r="B21" s="230"/>
      <c r="C21" s="230"/>
      <c r="D21" s="230"/>
      <c r="E21" s="230"/>
      <c r="F21" s="230"/>
      <c r="G21" s="230"/>
      <c r="H21" s="230"/>
      <c r="I21" s="230"/>
      <c r="J21" s="230"/>
      <c r="K21" s="230"/>
      <c r="L21" s="230"/>
      <c r="M21" s="10"/>
    </row>
    <row r="22" spans="1:13">
      <c r="A22" s="27"/>
      <c r="B22" s="230"/>
      <c r="C22" s="230"/>
      <c r="D22" s="230"/>
      <c r="E22" s="230"/>
      <c r="F22" s="230"/>
      <c r="G22" s="230"/>
      <c r="H22" s="230"/>
      <c r="I22" s="230"/>
      <c r="J22" s="230"/>
      <c r="K22" s="230"/>
      <c r="L22" s="230"/>
      <c r="M22" s="10"/>
    </row>
    <row r="23" spans="1:13">
      <c r="A23" s="27"/>
      <c r="B23" s="230"/>
      <c r="C23" s="230"/>
      <c r="D23" s="230"/>
      <c r="E23" s="230"/>
      <c r="F23" s="230"/>
      <c r="G23" s="230"/>
      <c r="H23" s="230"/>
      <c r="I23" s="230"/>
      <c r="J23" s="230"/>
      <c r="K23" s="230"/>
      <c r="L23" s="230"/>
      <c r="M23" s="10"/>
    </row>
    <row r="24" spans="1:13">
      <c r="A24" s="4"/>
      <c r="B24" s="321"/>
      <c r="C24" s="321"/>
      <c r="D24" s="321"/>
      <c r="E24" s="321"/>
      <c r="F24" s="321"/>
      <c r="G24" s="321"/>
      <c r="H24" s="321"/>
      <c r="I24" s="321"/>
      <c r="J24" s="321"/>
      <c r="K24" s="321"/>
      <c r="L24" s="321"/>
      <c r="M24" s="6"/>
    </row>
    <row r="27" spans="1:13">
      <c r="A27" s="212"/>
      <c r="B27" s="326" t="s">
        <v>90</v>
      </c>
      <c r="C27" s="326"/>
      <c r="D27" s="326"/>
      <c r="E27" s="326"/>
      <c r="F27" s="326"/>
      <c r="G27" s="326"/>
      <c r="H27" s="326"/>
      <c r="I27" s="326"/>
      <c r="J27" s="326"/>
      <c r="K27" s="326"/>
      <c r="L27" s="326"/>
      <c r="M27" s="212"/>
    </row>
    <row r="28" spans="1:13">
      <c r="A28" s="212"/>
      <c r="B28" s="326"/>
      <c r="C28" s="326"/>
      <c r="D28" s="326"/>
      <c r="E28" s="326"/>
      <c r="F28" s="326"/>
      <c r="G28" s="326"/>
      <c r="H28" s="326"/>
      <c r="I28" s="326"/>
      <c r="J28" s="326"/>
      <c r="K28" s="326"/>
      <c r="L28" s="326"/>
      <c r="M28" s="212"/>
    </row>
    <row r="29" spans="1:13">
      <c r="A29" s="26"/>
      <c r="B29" s="320" t="e">
        <f>LOOKUP(A9,個性数!A3:A14,個性数!E3:E14)</f>
        <v>#N/A</v>
      </c>
      <c r="C29" s="320"/>
      <c r="D29" s="320"/>
      <c r="E29" s="320"/>
      <c r="F29" s="320"/>
      <c r="G29" s="320"/>
      <c r="H29" s="320"/>
      <c r="I29" s="320"/>
      <c r="J29" s="320"/>
      <c r="K29" s="320"/>
      <c r="L29" s="320"/>
      <c r="M29" s="3"/>
    </row>
    <row r="30" spans="1:13">
      <c r="A30" s="27"/>
      <c r="B30" s="230"/>
      <c r="C30" s="230"/>
      <c r="D30" s="230"/>
      <c r="E30" s="230"/>
      <c r="F30" s="230"/>
      <c r="G30" s="230"/>
      <c r="H30" s="230"/>
      <c r="I30" s="230"/>
      <c r="J30" s="230"/>
      <c r="K30" s="230"/>
      <c r="L30" s="230"/>
      <c r="M30" s="10"/>
    </row>
    <row r="31" spans="1:13">
      <c r="A31" s="27"/>
      <c r="B31" s="230"/>
      <c r="C31" s="230"/>
      <c r="D31" s="230"/>
      <c r="E31" s="230"/>
      <c r="F31" s="230"/>
      <c r="G31" s="230"/>
      <c r="H31" s="230"/>
      <c r="I31" s="230"/>
      <c r="J31" s="230"/>
      <c r="K31" s="230"/>
      <c r="L31" s="230"/>
      <c r="M31" s="10"/>
    </row>
    <row r="32" spans="1:13">
      <c r="A32" s="4"/>
      <c r="B32" s="321"/>
      <c r="C32" s="321"/>
      <c r="D32" s="321"/>
      <c r="E32" s="321"/>
      <c r="F32" s="321"/>
      <c r="G32" s="321"/>
      <c r="H32" s="321"/>
      <c r="I32" s="321"/>
      <c r="J32" s="321"/>
      <c r="K32" s="321"/>
      <c r="L32" s="321"/>
      <c r="M32" s="6"/>
    </row>
    <row r="35" spans="1:13">
      <c r="A35" s="212"/>
      <c r="B35" s="295" t="s">
        <v>91</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c r="A37" s="26"/>
      <c r="B37" s="320" t="e">
        <f>LOOKUP(A9,個性数!A3:A14,個性数!F3:F14)</f>
        <v>#N/A</v>
      </c>
      <c r="C37" s="320"/>
      <c r="D37" s="320"/>
      <c r="E37" s="320"/>
      <c r="F37" s="320"/>
      <c r="G37" s="320"/>
      <c r="H37" s="320"/>
      <c r="I37" s="320"/>
      <c r="J37" s="320"/>
      <c r="K37" s="320"/>
      <c r="L37" s="320"/>
      <c r="M37" s="3"/>
    </row>
    <row r="38" spans="1:13">
      <c r="A38" s="27"/>
      <c r="B38" s="230"/>
      <c r="C38" s="230"/>
      <c r="D38" s="230"/>
      <c r="E38" s="230"/>
      <c r="F38" s="230"/>
      <c r="G38" s="230"/>
      <c r="H38" s="230"/>
      <c r="I38" s="230"/>
      <c r="J38" s="230"/>
      <c r="K38" s="230"/>
      <c r="L38" s="230"/>
      <c r="M38" s="10"/>
    </row>
    <row r="39" spans="1:13">
      <c r="A39" s="27"/>
      <c r="B39" s="230"/>
      <c r="C39" s="230"/>
      <c r="D39" s="230"/>
      <c r="E39" s="230"/>
      <c r="F39" s="230"/>
      <c r="G39" s="230"/>
      <c r="H39" s="230"/>
      <c r="I39" s="230"/>
      <c r="J39" s="230"/>
      <c r="K39" s="230"/>
      <c r="L39" s="230"/>
      <c r="M39" s="10"/>
    </row>
    <row r="40" spans="1:13">
      <c r="A40" s="4"/>
      <c r="B40" s="321"/>
      <c r="C40" s="321"/>
      <c r="D40" s="321"/>
      <c r="E40" s="321"/>
      <c r="F40" s="321"/>
      <c r="G40" s="321"/>
      <c r="H40" s="321"/>
      <c r="I40" s="321"/>
      <c r="J40" s="321"/>
      <c r="K40" s="321"/>
      <c r="L40" s="321"/>
      <c r="M40" s="6"/>
    </row>
    <row r="46" spans="1:13">
      <c r="A46" s="13"/>
    </row>
    <row r="48" spans="1:13" ht="13.5" customHeight="1">
      <c r="A48" s="107" t="s">
        <v>76</v>
      </c>
      <c r="F48" s="322" t="s">
        <v>77</v>
      </c>
      <c r="G48" s="322"/>
      <c r="H48" s="322"/>
      <c r="I48" s="322"/>
      <c r="J48" s="322"/>
      <c r="K48" s="322"/>
      <c r="L48" s="322"/>
      <c r="M48" s="213"/>
    </row>
    <row r="49" spans="1:13" ht="13.5" customHeight="1">
      <c r="F49" s="322"/>
      <c r="G49" s="322"/>
      <c r="H49" s="322"/>
      <c r="I49" s="322"/>
      <c r="J49" s="322"/>
      <c r="K49" s="322"/>
      <c r="L49" s="322"/>
      <c r="M49" s="213"/>
    </row>
    <row r="50" spans="1:13" ht="13.5" customHeight="1">
      <c r="A50" s="107" t="s">
        <v>104</v>
      </c>
      <c r="F50" s="26"/>
      <c r="G50" s="320" t="e">
        <f>LOOKUP(A9,体験ｽﾄｰﾘｰ!A3:A14,体験ｽﾄｰﾘｰ!F3:F14)</f>
        <v>#N/A</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ht="13.5" customHeight="1">
      <c r="F53" s="27"/>
      <c r="G53" s="230"/>
      <c r="H53" s="230"/>
      <c r="I53" s="230"/>
      <c r="J53" s="230"/>
      <c r="K53" s="230"/>
      <c r="L53" s="230"/>
      <c r="M53" s="10"/>
    </row>
    <row r="54" spans="1:13" ht="13.5" customHeight="1">
      <c r="F54" s="27"/>
      <c r="G54" s="323" t="e">
        <f>LOOKUP(A9,体験ｽﾄｰﾘｰ!A3:A14,体験ｽﾄｰﾘｰ!G3:G14)</f>
        <v>#N/A</v>
      </c>
      <c r="H54" s="323"/>
      <c r="I54" s="323"/>
      <c r="J54" s="323"/>
      <c r="K54" s="323"/>
      <c r="L54" s="323"/>
      <c r="M54" s="10"/>
    </row>
    <row r="55" spans="1:13">
      <c r="F55" s="4"/>
      <c r="G55" s="324"/>
      <c r="H55" s="324"/>
      <c r="I55" s="324"/>
      <c r="J55" s="324"/>
      <c r="K55" s="324"/>
      <c r="L55" s="324"/>
      <c r="M55" s="6"/>
    </row>
    <row r="56" spans="1:13">
      <c r="G56" s="47"/>
      <c r="H56" s="47"/>
      <c r="I56" s="47"/>
      <c r="J56" s="47"/>
      <c r="K56" s="47"/>
      <c r="L56" s="47"/>
    </row>
    <row r="57" spans="1:13">
      <c r="G57" s="47"/>
      <c r="H57" s="47"/>
      <c r="I57" s="47"/>
      <c r="J57" s="47"/>
      <c r="K57" s="47"/>
      <c r="L57" s="47"/>
    </row>
    <row r="59" spans="1:13">
      <c r="E59" s="13" t="s">
        <v>105</v>
      </c>
      <c r="G59" s="13"/>
      <c r="H59" s="13"/>
      <c r="I59" s="13"/>
      <c r="J59" s="13"/>
    </row>
    <row r="61" spans="1:13" ht="30" customHeight="1"/>
  </sheetData>
  <sheetProtection selectLockedCells="1"/>
  <mergeCells count="12">
    <mergeCell ref="G50:L53"/>
    <mergeCell ref="G54:L55"/>
    <mergeCell ref="J5:K5"/>
    <mergeCell ref="B17:L18"/>
    <mergeCell ref="B19:L24"/>
    <mergeCell ref="B27:L28"/>
    <mergeCell ref="B29:L32"/>
    <mergeCell ref="B35:L36"/>
    <mergeCell ref="B37:L40"/>
    <mergeCell ref="A8:C8"/>
    <mergeCell ref="A9:C11"/>
    <mergeCell ref="F48:L49"/>
  </mergeCells>
  <phoneticPr fontId="1"/>
  <pageMargins left="0.90551181102362199" right="0.51181102362204722" top="0.15748031496062992" bottom="0.15748031496062992" header="0" footer="0"/>
  <pageSetup paperSize="9" scale="99" fitToWidth="0" orientation="portrait" horizontalDpi="4294967293"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5">
    <tabColor rgb="FF00B0F0"/>
    <pageSetUpPr fitToPage="1"/>
  </sheetPr>
  <dimension ref="A1:M61"/>
  <sheetViews>
    <sheetView topLeftCell="A7" zoomScale="86" zoomScaleNormal="86" workbookViewId="0">
      <selection activeCell="M49" sqref="M49"/>
    </sheetView>
  </sheetViews>
  <sheetFormatPr defaultRowHeight="13.5"/>
  <cols>
    <col min="1" max="1" width="2.75" customWidth="1"/>
    <col min="2" max="2" width="7" customWidth="1"/>
    <col min="4" max="4" width="2.75" customWidth="1"/>
    <col min="5" max="5" width="7" customWidth="1"/>
    <col min="6" max="6" width="2.75" customWidth="1"/>
    <col min="7" max="7" width="7" customWidth="1"/>
    <col min="8" max="8" width="9" customWidth="1"/>
    <col min="12" max="12" width="7" customWidth="1"/>
    <col min="13" max="13" width="2.75" customWidth="1"/>
    <col min="14" max="14" width="9" customWidth="1"/>
  </cols>
  <sheetData>
    <row r="1" spans="1:12" ht="30" customHeight="1"/>
    <row r="2" spans="1:12" ht="33" customHeight="1"/>
    <row r="3" spans="1:12" s="28" customFormat="1" ht="13.5" customHeight="1">
      <c r="A3" s="107" t="s">
        <v>20</v>
      </c>
      <c r="J3" s="108" t="s">
        <v>21</v>
      </c>
      <c r="L3" s="1" t="s">
        <v>96</v>
      </c>
    </row>
    <row r="4" spans="1:12" s="28" customFormat="1" ht="13.5" customHeight="1"/>
    <row r="5" spans="1:12" s="28" customFormat="1" ht="18.75" customHeight="1">
      <c r="F5" s="86" t="s">
        <v>23</v>
      </c>
      <c r="G5" s="88"/>
      <c r="H5" s="88"/>
      <c r="I5" s="88"/>
      <c r="J5" s="293">
        <f>入力データ!C18</f>
        <v>0</v>
      </c>
      <c r="K5" s="293"/>
      <c r="L5" s="89" t="s">
        <v>24</v>
      </c>
    </row>
    <row r="8" spans="1:12" ht="27.75" customHeight="1">
      <c r="A8" s="297" t="s">
        <v>97</v>
      </c>
      <c r="B8" s="297"/>
      <c r="C8" s="297"/>
      <c r="E8" s="107" t="s">
        <v>98</v>
      </c>
    </row>
    <row r="9" spans="1:12" ht="13.5" customHeight="1">
      <c r="A9" s="298">
        <v>11</v>
      </c>
      <c r="B9" s="299"/>
      <c r="C9" s="300"/>
    </row>
    <row r="10" spans="1:12" ht="13.5" customHeight="1">
      <c r="A10" s="301"/>
      <c r="B10" s="302"/>
      <c r="C10" s="303"/>
      <c r="E10" s="107" t="s">
        <v>99</v>
      </c>
    </row>
    <row r="11" spans="1:12" ht="13.5" customHeight="1">
      <c r="A11" s="304"/>
      <c r="B11" s="305"/>
      <c r="C11" s="306"/>
      <c r="E11" s="107" t="s">
        <v>100</v>
      </c>
    </row>
    <row r="12" spans="1:12" ht="13.5" customHeight="1">
      <c r="C12" s="45"/>
      <c r="E12" s="1"/>
    </row>
    <row r="14" spans="1:12">
      <c r="A14" s="110" t="s">
        <v>101</v>
      </c>
    </row>
    <row r="15" spans="1:12">
      <c r="A15" s="110" t="s">
        <v>102</v>
      </c>
    </row>
    <row r="17" spans="1:13">
      <c r="A17" s="212"/>
      <c r="B17" s="295" t="s">
        <v>103</v>
      </c>
      <c r="C17" s="295"/>
      <c r="D17" s="295"/>
      <c r="E17" s="295"/>
      <c r="F17" s="295"/>
      <c r="G17" s="295"/>
      <c r="H17" s="295"/>
      <c r="I17" s="295"/>
      <c r="J17" s="295"/>
      <c r="K17" s="295"/>
      <c r="L17" s="295"/>
      <c r="M17" s="212"/>
    </row>
    <row r="18" spans="1:13">
      <c r="A18" s="212"/>
      <c r="B18" s="295"/>
      <c r="C18" s="295"/>
      <c r="D18" s="295"/>
      <c r="E18" s="295"/>
      <c r="F18" s="295"/>
      <c r="G18" s="295"/>
      <c r="H18" s="295"/>
      <c r="I18" s="295"/>
      <c r="J18" s="295"/>
      <c r="K18" s="295"/>
      <c r="L18" s="295"/>
      <c r="M18" s="212"/>
    </row>
    <row r="19" spans="1:13">
      <c r="A19" s="26"/>
      <c r="B19" s="320" t="str">
        <f>LOOKUP(A9,個性数!A3:A14,個性数!D3:D14)</f>
        <v>有名人では細木数子、中田英寿などが誕生数に「１１」を持っています。　　　　　　　　　　　　　　　　　　　　　　
洞察力、感性に優れ、独特の世界観を持ちます。　　　　　　　　　　　　　　　　　　　　　　　　　　　　　　　　　　　　　　　　　　　　　　　　　　　　　　
人の内側のエネルギーや場のエネルギーを敏感に感じ取る能力に長けています。　　　　　　　　　　　　　　　　　　　　
正義感、向上心に溢れ、物質的なものより精神的、神秘的なものに惹かれます。　　　　　　　　　　　　　　　　　　　　　
個性を活かした芸術的表現は、人々の心に響き精神性を目覚めさせ、革新的に物事を創造する力を発揮します。</v>
      </c>
      <c r="C19" s="320"/>
      <c r="D19" s="320"/>
      <c r="E19" s="320"/>
      <c r="F19" s="320"/>
      <c r="G19" s="320"/>
      <c r="H19" s="320"/>
      <c r="I19" s="320"/>
      <c r="J19" s="320"/>
      <c r="K19" s="320"/>
      <c r="L19" s="320"/>
      <c r="M19" s="3"/>
    </row>
    <row r="20" spans="1:13">
      <c r="A20" s="27"/>
      <c r="B20" s="230"/>
      <c r="C20" s="230"/>
      <c r="D20" s="230"/>
      <c r="E20" s="230"/>
      <c r="F20" s="230"/>
      <c r="G20" s="230"/>
      <c r="H20" s="230"/>
      <c r="I20" s="230"/>
      <c r="J20" s="230"/>
      <c r="K20" s="230"/>
      <c r="L20" s="230"/>
      <c r="M20" s="10"/>
    </row>
    <row r="21" spans="1:13">
      <c r="A21" s="27"/>
      <c r="B21" s="230"/>
      <c r="C21" s="230"/>
      <c r="D21" s="230"/>
      <c r="E21" s="230"/>
      <c r="F21" s="230"/>
      <c r="G21" s="230"/>
      <c r="H21" s="230"/>
      <c r="I21" s="230"/>
      <c r="J21" s="230"/>
      <c r="K21" s="230"/>
      <c r="L21" s="230"/>
      <c r="M21" s="10"/>
    </row>
    <row r="22" spans="1:13">
      <c r="A22" s="27"/>
      <c r="B22" s="230"/>
      <c r="C22" s="230"/>
      <c r="D22" s="230"/>
      <c r="E22" s="230"/>
      <c r="F22" s="230"/>
      <c r="G22" s="230"/>
      <c r="H22" s="230"/>
      <c r="I22" s="230"/>
      <c r="J22" s="230"/>
      <c r="K22" s="230"/>
      <c r="L22" s="230"/>
      <c r="M22" s="10"/>
    </row>
    <row r="23" spans="1:13">
      <c r="A23" s="27"/>
      <c r="B23" s="230"/>
      <c r="C23" s="230"/>
      <c r="D23" s="230"/>
      <c r="E23" s="230"/>
      <c r="F23" s="230"/>
      <c r="G23" s="230"/>
      <c r="H23" s="230"/>
      <c r="I23" s="230"/>
      <c r="J23" s="230"/>
      <c r="K23" s="230"/>
      <c r="L23" s="230"/>
      <c r="M23" s="10"/>
    </row>
    <row r="24" spans="1:13">
      <c r="A24" s="4"/>
      <c r="B24" s="321"/>
      <c r="C24" s="321"/>
      <c r="D24" s="321"/>
      <c r="E24" s="321"/>
      <c r="F24" s="321"/>
      <c r="G24" s="321"/>
      <c r="H24" s="321"/>
      <c r="I24" s="321"/>
      <c r="J24" s="321"/>
      <c r="K24" s="321"/>
      <c r="L24" s="321"/>
      <c r="M24" s="6"/>
    </row>
    <row r="27" spans="1:13">
      <c r="A27" s="212"/>
      <c r="B27" s="326" t="s">
        <v>90</v>
      </c>
      <c r="C27" s="326"/>
      <c r="D27" s="326"/>
      <c r="E27" s="326"/>
      <c r="F27" s="326"/>
      <c r="G27" s="326"/>
      <c r="H27" s="326"/>
      <c r="I27" s="326"/>
      <c r="J27" s="326"/>
      <c r="K27" s="326"/>
      <c r="L27" s="326"/>
      <c r="M27" s="212"/>
    </row>
    <row r="28" spans="1:13">
      <c r="A28" s="212"/>
      <c r="B28" s="326"/>
      <c r="C28" s="326"/>
      <c r="D28" s="326"/>
      <c r="E28" s="326"/>
      <c r="F28" s="326"/>
      <c r="G28" s="326"/>
      <c r="H28" s="326"/>
      <c r="I28" s="326"/>
      <c r="J28" s="326"/>
      <c r="K28" s="326"/>
      <c r="L28" s="326"/>
      <c r="M28" s="212"/>
    </row>
    <row r="29" spans="1:13">
      <c r="A29" s="26"/>
      <c r="B29" s="320" t="str">
        <f>LOOKUP(A9,個性数!A3:A14,個性数!E3:E14)</f>
        <v>特に１１の中の１のエネルギーが強まり、「自分が率先して精神の向上を促さなければ」との思い込みから、人をコントロールしたり依存させる傾向になります。
精神世界に傾き過ぎることでアンバランスを体験します。</v>
      </c>
      <c r="C29" s="320"/>
      <c r="D29" s="320"/>
      <c r="E29" s="320"/>
      <c r="F29" s="320"/>
      <c r="G29" s="320"/>
      <c r="H29" s="320"/>
      <c r="I29" s="320"/>
      <c r="J29" s="320"/>
      <c r="K29" s="320"/>
      <c r="L29" s="320"/>
      <c r="M29" s="3"/>
    </row>
    <row r="30" spans="1:13">
      <c r="A30" s="27"/>
      <c r="B30" s="230"/>
      <c r="C30" s="230"/>
      <c r="D30" s="230"/>
      <c r="E30" s="230"/>
      <c r="F30" s="230"/>
      <c r="G30" s="230"/>
      <c r="H30" s="230"/>
      <c r="I30" s="230"/>
      <c r="J30" s="230"/>
      <c r="K30" s="230"/>
      <c r="L30" s="230"/>
      <c r="M30" s="10"/>
    </row>
    <row r="31" spans="1:13">
      <c r="A31" s="27"/>
      <c r="B31" s="230"/>
      <c r="C31" s="230"/>
      <c r="D31" s="230"/>
      <c r="E31" s="230"/>
      <c r="F31" s="230"/>
      <c r="G31" s="230"/>
      <c r="H31" s="230"/>
      <c r="I31" s="230"/>
      <c r="J31" s="230"/>
      <c r="K31" s="230"/>
      <c r="L31" s="230"/>
      <c r="M31" s="10"/>
    </row>
    <row r="32" spans="1:13">
      <c r="A32" s="4"/>
      <c r="B32" s="321"/>
      <c r="C32" s="321"/>
      <c r="D32" s="321"/>
      <c r="E32" s="321"/>
      <c r="F32" s="321"/>
      <c r="G32" s="321"/>
      <c r="H32" s="321"/>
      <c r="I32" s="321"/>
      <c r="J32" s="321"/>
      <c r="K32" s="321"/>
      <c r="L32" s="321"/>
      <c r="M32" s="6"/>
    </row>
    <row r="35" spans="1:13">
      <c r="A35" s="212"/>
      <c r="B35" s="295" t="s">
        <v>91</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c r="A37" s="26"/>
      <c r="B37" s="320" t="str">
        <f>LOOKUP(A9,個性数!A3:A14,個性数!F3:F14)</f>
        <v>特に１１の中の２のエネルギーが強まり、自分を過小評価し「現実世界に生きづらい」、
「認められない不安定さ」を体験します。</v>
      </c>
      <c r="C37" s="320"/>
      <c r="D37" s="320"/>
      <c r="E37" s="320"/>
      <c r="F37" s="320"/>
      <c r="G37" s="320"/>
      <c r="H37" s="320"/>
      <c r="I37" s="320"/>
      <c r="J37" s="320"/>
      <c r="K37" s="320"/>
      <c r="L37" s="320"/>
      <c r="M37" s="3"/>
    </row>
    <row r="38" spans="1:13">
      <c r="A38" s="27"/>
      <c r="B38" s="230"/>
      <c r="C38" s="230"/>
      <c r="D38" s="230"/>
      <c r="E38" s="230"/>
      <c r="F38" s="230"/>
      <c r="G38" s="230"/>
      <c r="H38" s="230"/>
      <c r="I38" s="230"/>
      <c r="J38" s="230"/>
      <c r="K38" s="230"/>
      <c r="L38" s="230"/>
      <c r="M38" s="10"/>
    </row>
    <row r="39" spans="1:13">
      <c r="A39" s="27"/>
      <c r="B39" s="230"/>
      <c r="C39" s="230"/>
      <c r="D39" s="230"/>
      <c r="E39" s="230"/>
      <c r="F39" s="230"/>
      <c r="G39" s="230"/>
      <c r="H39" s="230"/>
      <c r="I39" s="230"/>
      <c r="J39" s="230"/>
      <c r="K39" s="230"/>
      <c r="L39" s="230"/>
      <c r="M39" s="10"/>
    </row>
    <row r="40" spans="1:13">
      <c r="A40" s="4"/>
      <c r="B40" s="321"/>
      <c r="C40" s="321"/>
      <c r="D40" s="321"/>
      <c r="E40" s="321"/>
      <c r="F40" s="321"/>
      <c r="G40" s="321"/>
      <c r="H40" s="321"/>
      <c r="I40" s="321"/>
      <c r="J40" s="321"/>
      <c r="K40" s="321"/>
      <c r="L40" s="321"/>
      <c r="M40" s="6"/>
    </row>
    <row r="46" spans="1:13">
      <c r="A46" s="13"/>
    </row>
    <row r="48" spans="1:13" ht="13.5" customHeight="1">
      <c r="A48" s="107" t="s">
        <v>76</v>
      </c>
      <c r="F48" s="322" t="s">
        <v>77</v>
      </c>
      <c r="G48" s="322"/>
      <c r="H48" s="322"/>
      <c r="I48" s="322"/>
      <c r="J48" s="322"/>
      <c r="K48" s="322"/>
      <c r="L48" s="322"/>
      <c r="M48" s="213"/>
    </row>
    <row r="49" spans="1:13" ht="13.5" customHeight="1">
      <c r="F49" s="322"/>
      <c r="G49" s="322"/>
      <c r="H49" s="322"/>
      <c r="I49" s="322"/>
      <c r="J49" s="322"/>
      <c r="K49" s="322"/>
      <c r="L49" s="322"/>
      <c r="M49" s="213"/>
    </row>
    <row r="50" spans="1:13" ht="13.5" customHeight="1">
      <c r="A50" s="107" t="s">
        <v>104</v>
      </c>
      <c r="F50" s="26"/>
      <c r="G50" s="320" t="str">
        <f>LOOKUP(A9,体験ｽﾄｰﾘｰ!A3:A14,体験ｽﾄｰﾘｰ!F3:F14)</f>
        <v>「直感に従う、見えない世界をあたり前に取り入れ活かす」
 あなたの感性をどのように表現していきますか？</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ht="13.5" customHeight="1">
      <c r="F53" s="27"/>
      <c r="G53" s="230"/>
      <c r="H53" s="230"/>
      <c r="I53" s="230"/>
      <c r="J53" s="230"/>
      <c r="K53" s="230"/>
      <c r="L53" s="230"/>
      <c r="M53" s="10"/>
    </row>
    <row r="54" spans="1:13" ht="13.5" customHeight="1">
      <c r="F54" s="27"/>
      <c r="G54" s="323" t="str">
        <f>LOOKUP(A9,体験ｽﾄｰﾘｰ!A3:A14,体験ｽﾄｰﾘｰ!G3:G14)</f>
        <v>「自分の感性と向き合い、「今」に目を向けるためのストーリー」</v>
      </c>
      <c r="H54" s="323"/>
      <c r="I54" s="323"/>
      <c r="J54" s="323"/>
      <c r="K54" s="323"/>
      <c r="L54" s="323"/>
      <c r="M54" s="10"/>
    </row>
    <row r="55" spans="1:13">
      <c r="F55" s="4"/>
      <c r="G55" s="324"/>
      <c r="H55" s="324"/>
      <c r="I55" s="324"/>
      <c r="J55" s="324"/>
      <c r="K55" s="324"/>
      <c r="L55" s="324"/>
      <c r="M55" s="6"/>
    </row>
    <row r="56" spans="1:13">
      <c r="G56" s="47"/>
      <c r="H56" s="47"/>
      <c r="I56" s="47"/>
      <c r="J56" s="47"/>
      <c r="K56" s="47"/>
      <c r="L56" s="47"/>
    </row>
    <row r="57" spans="1:13">
      <c r="G57" s="47"/>
      <c r="H57" s="47"/>
      <c r="I57" s="47"/>
      <c r="J57" s="47"/>
      <c r="K57" s="47"/>
      <c r="L57" s="47"/>
    </row>
    <row r="59" spans="1:13">
      <c r="E59" s="13" t="s">
        <v>106</v>
      </c>
      <c r="G59" s="13"/>
      <c r="H59" s="13"/>
      <c r="I59" s="13"/>
      <c r="J59" s="13"/>
    </row>
    <row r="61" spans="1:13" ht="30" customHeight="1"/>
  </sheetData>
  <sheetProtection selectLockedCells="1"/>
  <mergeCells count="12">
    <mergeCell ref="G54:L55"/>
    <mergeCell ref="J5:K5"/>
    <mergeCell ref="A8:C8"/>
    <mergeCell ref="A9:C11"/>
    <mergeCell ref="B17:L18"/>
    <mergeCell ref="B19:L24"/>
    <mergeCell ref="B27:L28"/>
    <mergeCell ref="B29:L32"/>
    <mergeCell ref="B35:L36"/>
    <mergeCell ref="B37:L40"/>
    <mergeCell ref="F48:L49"/>
    <mergeCell ref="G50:L53"/>
  </mergeCells>
  <phoneticPr fontId="1"/>
  <pageMargins left="0.90551181102362199" right="0.51181102362204722" top="0.15748031496062992" bottom="0.15748031496062992" header="0" footer="0"/>
  <pageSetup paperSize="9" scale="99" fitToWidth="0"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6">
    <tabColor rgb="FF00B0F0"/>
    <pageSetUpPr fitToPage="1"/>
  </sheetPr>
  <dimension ref="A1:M61"/>
  <sheetViews>
    <sheetView topLeftCell="A27" zoomScale="86" zoomScaleNormal="86" workbookViewId="0">
      <selection activeCell="M49" sqref="M49"/>
    </sheetView>
  </sheetViews>
  <sheetFormatPr defaultRowHeight="13.5"/>
  <cols>
    <col min="1" max="1" width="2.75" customWidth="1"/>
    <col min="2" max="2" width="7" customWidth="1"/>
    <col min="4" max="4" width="2.75" customWidth="1"/>
    <col min="5" max="5" width="7" customWidth="1"/>
    <col min="6" max="6" width="2.75" customWidth="1"/>
    <col min="7" max="7" width="7" customWidth="1"/>
    <col min="8" max="8" width="9" customWidth="1"/>
    <col min="12" max="12" width="7" customWidth="1"/>
    <col min="13" max="13" width="2.75" customWidth="1"/>
    <col min="14" max="14" width="9" customWidth="1"/>
  </cols>
  <sheetData>
    <row r="1" spans="1:12" ht="30" customHeight="1"/>
    <row r="2" spans="1:12" ht="33" customHeight="1"/>
    <row r="3" spans="1:12" s="28" customFormat="1" ht="13.5" customHeight="1">
      <c r="A3" s="107" t="s">
        <v>20</v>
      </c>
      <c r="J3" s="108" t="s">
        <v>21</v>
      </c>
      <c r="L3" s="1" t="s">
        <v>96</v>
      </c>
    </row>
    <row r="4" spans="1:12" s="28" customFormat="1" ht="13.5" customHeight="1"/>
    <row r="5" spans="1:12" s="28" customFormat="1" ht="18.75" customHeight="1">
      <c r="F5" s="86" t="s">
        <v>23</v>
      </c>
      <c r="G5" s="88"/>
      <c r="H5" s="88"/>
      <c r="I5" s="88"/>
      <c r="J5" s="293">
        <f>入力データ!C18</f>
        <v>0</v>
      </c>
      <c r="K5" s="293"/>
      <c r="L5" s="89" t="s">
        <v>24</v>
      </c>
    </row>
    <row r="8" spans="1:12" ht="27.75" customHeight="1">
      <c r="A8" s="297" t="s">
        <v>97</v>
      </c>
      <c r="B8" s="297"/>
      <c r="C8" s="297"/>
      <c r="E8" s="107" t="s">
        <v>98</v>
      </c>
    </row>
    <row r="9" spans="1:12" ht="13.5" customHeight="1">
      <c r="A9" s="298">
        <v>22</v>
      </c>
      <c r="B9" s="299"/>
      <c r="C9" s="300"/>
    </row>
    <row r="10" spans="1:12" ht="13.5" customHeight="1">
      <c r="A10" s="301"/>
      <c r="B10" s="302"/>
      <c r="C10" s="303"/>
      <c r="E10" s="107" t="s">
        <v>99</v>
      </c>
    </row>
    <row r="11" spans="1:12" ht="13.5" customHeight="1">
      <c r="A11" s="304"/>
      <c r="B11" s="305"/>
      <c r="C11" s="306"/>
      <c r="E11" s="107" t="s">
        <v>100</v>
      </c>
    </row>
    <row r="12" spans="1:12" ht="13.5" customHeight="1">
      <c r="C12" s="45"/>
      <c r="E12" s="1"/>
    </row>
    <row r="14" spans="1:12">
      <c r="A14" s="110" t="s">
        <v>101</v>
      </c>
    </row>
    <row r="15" spans="1:12">
      <c r="A15" s="110" t="s">
        <v>102</v>
      </c>
    </row>
    <row r="17" spans="1:13">
      <c r="A17" s="212"/>
      <c r="B17" s="295" t="s">
        <v>103</v>
      </c>
      <c r="C17" s="295"/>
      <c r="D17" s="295"/>
      <c r="E17" s="295"/>
      <c r="F17" s="295"/>
      <c r="G17" s="295"/>
      <c r="H17" s="295"/>
      <c r="I17" s="295"/>
      <c r="J17" s="295"/>
      <c r="K17" s="295"/>
      <c r="L17" s="295"/>
      <c r="M17" s="212"/>
    </row>
    <row r="18" spans="1:13">
      <c r="A18" s="212"/>
      <c r="B18" s="295"/>
      <c r="C18" s="295"/>
      <c r="D18" s="295"/>
      <c r="E18" s="295"/>
      <c r="F18" s="295"/>
      <c r="G18" s="295"/>
      <c r="H18" s="295"/>
      <c r="I18" s="295"/>
      <c r="J18" s="295"/>
      <c r="K18" s="295"/>
      <c r="L18" s="295"/>
      <c r="M18" s="212"/>
    </row>
    <row r="19" spans="1:13">
      <c r="A19" s="26"/>
      <c r="B19" s="320" t="str">
        <f>LOOKUP(A9,個性数!A3:A14,個性数!D3:D14)</f>
        <v>有名人では、デビィ夫人、坂本龍馬などが誕生数に「２２」を持っています。
大胆な行動力とズバ抜けた強運を持つ人。　逆境を乗り越え、自我を確立させていく様は、
強烈なオーラ、カリスマ性を発し人々の注目を浴びます。
向上思考、安定志向、物資欲が強く、目的の達成のための努力を惜しまずパワフルに行動し独自の個性で人を惹きつけます。</v>
      </c>
      <c r="C19" s="320"/>
      <c r="D19" s="320"/>
      <c r="E19" s="320"/>
      <c r="F19" s="320"/>
      <c r="G19" s="320"/>
      <c r="H19" s="320"/>
      <c r="I19" s="320"/>
      <c r="J19" s="320"/>
      <c r="K19" s="320"/>
      <c r="L19" s="320"/>
      <c r="M19" s="3"/>
    </row>
    <row r="20" spans="1:13">
      <c r="A20" s="27"/>
      <c r="B20" s="230"/>
      <c r="C20" s="230"/>
      <c r="D20" s="230"/>
      <c r="E20" s="230"/>
      <c r="F20" s="230"/>
      <c r="G20" s="230"/>
      <c r="H20" s="230"/>
      <c r="I20" s="230"/>
      <c r="J20" s="230"/>
      <c r="K20" s="230"/>
      <c r="L20" s="230"/>
      <c r="M20" s="10"/>
    </row>
    <row r="21" spans="1:13">
      <c r="A21" s="27"/>
      <c r="B21" s="230"/>
      <c r="C21" s="230"/>
      <c r="D21" s="230"/>
      <c r="E21" s="230"/>
      <c r="F21" s="230"/>
      <c r="G21" s="230"/>
      <c r="H21" s="230"/>
      <c r="I21" s="230"/>
      <c r="J21" s="230"/>
      <c r="K21" s="230"/>
      <c r="L21" s="230"/>
      <c r="M21" s="10"/>
    </row>
    <row r="22" spans="1:13">
      <c r="A22" s="27"/>
      <c r="B22" s="230"/>
      <c r="C22" s="230"/>
      <c r="D22" s="230"/>
      <c r="E22" s="230"/>
      <c r="F22" s="230"/>
      <c r="G22" s="230"/>
      <c r="H22" s="230"/>
      <c r="I22" s="230"/>
      <c r="J22" s="230"/>
      <c r="K22" s="230"/>
      <c r="L22" s="230"/>
      <c r="M22" s="10"/>
    </row>
    <row r="23" spans="1:13">
      <c r="A23" s="27"/>
      <c r="B23" s="230"/>
      <c r="C23" s="230"/>
      <c r="D23" s="230"/>
      <c r="E23" s="230"/>
      <c r="F23" s="230"/>
      <c r="G23" s="230"/>
      <c r="H23" s="230"/>
      <c r="I23" s="230"/>
      <c r="J23" s="230"/>
      <c r="K23" s="230"/>
      <c r="L23" s="230"/>
      <c r="M23" s="10"/>
    </row>
    <row r="24" spans="1:13">
      <c r="A24" s="4"/>
      <c r="B24" s="321"/>
      <c r="C24" s="321"/>
      <c r="D24" s="321"/>
      <c r="E24" s="321"/>
      <c r="F24" s="321"/>
      <c r="G24" s="321"/>
      <c r="H24" s="321"/>
      <c r="I24" s="321"/>
      <c r="J24" s="321"/>
      <c r="K24" s="321"/>
      <c r="L24" s="321"/>
      <c r="M24" s="6"/>
    </row>
    <row r="27" spans="1:13">
      <c r="A27" s="212"/>
      <c r="B27" s="326" t="s">
        <v>90</v>
      </c>
      <c r="C27" s="326"/>
      <c r="D27" s="326"/>
      <c r="E27" s="326"/>
      <c r="F27" s="326"/>
      <c r="G27" s="326"/>
      <c r="H27" s="326"/>
      <c r="I27" s="326"/>
      <c r="J27" s="326"/>
      <c r="K27" s="326"/>
      <c r="L27" s="326"/>
      <c r="M27" s="212"/>
    </row>
    <row r="28" spans="1:13">
      <c r="A28" s="212"/>
      <c r="B28" s="326"/>
      <c r="C28" s="326"/>
      <c r="D28" s="326"/>
      <c r="E28" s="326"/>
      <c r="F28" s="326"/>
      <c r="G28" s="326"/>
      <c r="H28" s="326"/>
      <c r="I28" s="326"/>
      <c r="J28" s="326"/>
      <c r="K28" s="326"/>
      <c r="L28" s="326"/>
      <c r="M28" s="212"/>
    </row>
    <row r="29" spans="1:13">
      <c r="A29" s="26"/>
      <c r="B29" s="320" t="str">
        <f>LOOKUP(A9,個性数!A3:A14,個性数!E3:E14)</f>
        <v>新たな現実世界を構築する指導力・強固な意志力、自信溢れる言動、カリスマ性が極端に称賛される、または、遠い存在に感じられる、嫉妬されるなど、
いずれにしても注目を浴びます。</v>
      </c>
      <c r="C29" s="320"/>
      <c r="D29" s="320"/>
      <c r="E29" s="320"/>
      <c r="F29" s="320"/>
      <c r="G29" s="320"/>
      <c r="H29" s="320"/>
      <c r="I29" s="320"/>
      <c r="J29" s="320"/>
      <c r="K29" s="320"/>
      <c r="L29" s="320"/>
      <c r="M29" s="3"/>
    </row>
    <row r="30" spans="1:13">
      <c r="A30" s="27"/>
      <c r="B30" s="230"/>
      <c r="C30" s="230"/>
      <c r="D30" s="230"/>
      <c r="E30" s="230"/>
      <c r="F30" s="230"/>
      <c r="G30" s="230"/>
      <c r="H30" s="230"/>
      <c r="I30" s="230"/>
      <c r="J30" s="230"/>
      <c r="K30" s="230"/>
      <c r="L30" s="230"/>
      <c r="M30" s="10"/>
    </row>
    <row r="31" spans="1:13">
      <c r="A31" s="27"/>
      <c r="B31" s="230"/>
      <c r="C31" s="230"/>
      <c r="D31" s="230"/>
      <c r="E31" s="230"/>
      <c r="F31" s="230"/>
      <c r="G31" s="230"/>
      <c r="H31" s="230"/>
      <c r="I31" s="230"/>
      <c r="J31" s="230"/>
      <c r="K31" s="230"/>
      <c r="L31" s="230"/>
      <c r="M31" s="10"/>
    </row>
    <row r="32" spans="1:13">
      <c r="A32" s="4"/>
      <c r="B32" s="321"/>
      <c r="C32" s="321"/>
      <c r="D32" s="321"/>
      <c r="E32" s="321"/>
      <c r="F32" s="321"/>
      <c r="G32" s="321"/>
      <c r="H32" s="321"/>
      <c r="I32" s="321"/>
      <c r="J32" s="321"/>
      <c r="K32" s="321"/>
      <c r="L32" s="321"/>
      <c r="M32" s="6"/>
    </row>
    <row r="35" spans="1:13">
      <c r="A35" s="212"/>
      <c r="B35" s="295" t="s">
        <v>91</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c r="A37" s="26"/>
      <c r="B37" s="320" t="str">
        <f>LOOKUP(A9,個性数!A3:A14,個性数!F3:F14)</f>
        <v>本来の自分らしさが表に出ることをあきらめ、自分を目立たないようにする。
自分の発信力、影響力に抵抗を感じ、大勢の中に身を置くことから距離を置くようになります。</v>
      </c>
      <c r="C37" s="320"/>
      <c r="D37" s="320"/>
      <c r="E37" s="320"/>
      <c r="F37" s="320"/>
      <c r="G37" s="320"/>
      <c r="H37" s="320"/>
      <c r="I37" s="320"/>
      <c r="J37" s="320"/>
      <c r="K37" s="320"/>
      <c r="L37" s="320"/>
      <c r="M37" s="3"/>
    </row>
    <row r="38" spans="1:13">
      <c r="A38" s="27"/>
      <c r="B38" s="230"/>
      <c r="C38" s="230"/>
      <c r="D38" s="230"/>
      <c r="E38" s="230"/>
      <c r="F38" s="230"/>
      <c r="G38" s="230"/>
      <c r="H38" s="230"/>
      <c r="I38" s="230"/>
      <c r="J38" s="230"/>
      <c r="K38" s="230"/>
      <c r="L38" s="230"/>
      <c r="M38" s="10"/>
    </row>
    <row r="39" spans="1:13">
      <c r="A39" s="27"/>
      <c r="B39" s="230"/>
      <c r="C39" s="230"/>
      <c r="D39" s="230"/>
      <c r="E39" s="230"/>
      <c r="F39" s="230"/>
      <c r="G39" s="230"/>
      <c r="H39" s="230"/>
      <c r="I39" s="230"/>
      <c r="J39" s="230"/>
      <c r="K39" s="230"/>
      <c r="L39" s="230"/>
      <c r="M39" s="10"/>
    </row>
    <row r="40" spans="1:13">
      <c r="A40" s="4"/>
      <c r="B40" s="321"/>
      <c r="C40" s="321"/>
      <c r="D40" s="321"/>
      <c r="E40" s="321"/>
      <c r="F40" s="321"/>
      <c r="G40" s="321"/>
      <c r="H40" s="321"/>
      <c r="I40" s="321"/>
      <c r="J40" s="321"/>
      <c r="K40" s="321"/>
      <c r="L40" s="321"/>
      <c r="M40" s="6"/>
    </row>
    <row r="46" spans="1:13">
      <c r="A46" s="13"/>
    </row>
    <row r="48" spans="1:13" ht="13.5" customHeight="1">
      <c r="A48" s="107" t="s">
        <v>76</v>
      </c>
      <c r="F48" s="322" t="s">
        <v>77</v>
      </c>
      <c r="G48" s="322"/>
      <c r="H48" s="322"/>
      <c r="I48" s="322"/>
      <c r="J48" s="322"/>
      <c r="K48" s="322"/>
      <c r="L48" s="322"/>
      <c r="M48" s="213"/>
    </row>
    <row r="49" spans="1:13" ht="13.5" customHeight="1">
      <c r="F49" s="322"/>
      <c r="G49" s="322"/>
      <c r="H49" s="322"/>
      <c r="I49" s="322"/>
      <c r="J49" s="322"/>
      <c r="K49" s="322"/>
      <c r="L49" s="322"/>
      <c r="M49" s="213"/>
    </row>
    <row r="50" spans="1:13" ht="13.5" customHeight="1">
      <c r="A50" s="107" t="s">
        <v>104</v>
      </c>
      <c r="F50" s="26"/>
      <c r="G50" s="320" t="str">
        <f>LOOKUP(A9,体験ｽﾄｰﾘｰ!A3:A14,体験ｽﾄｰﾘｰ!F3:F14)</f>
        <v>「チャレンジする目標があってこそ！」
本来のあなたを発揮するときはいつですか？</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ht="13.5" customHeight="1">
      <c r="F53" s="27"/>
      <c r="G53" s="230"/>
      <c r="H53" s="230"/>
      <c r="I53" s="230"/>
      <c r="J53" s="230"/>
      <c r="K53" s="230"/>
      <c r="L53" s="230"/>
      <c r="M53" s="10"/>
    </row>
    <row r="54" spans="1:13" ht="13.5" customHeight="1">
      <c r="F54" s="27"/>
      <c r="G54" s="323" t="str">
        <f>LOOKUP(A9,体験ｽﾄｰﾘｰ!A3:A14,体験ｽﾄｰﾘｰ!G3:G14)</f>
        <v>「自分の中の強い精神力、カリスマ性と向き合うストーリー」</v>
      </c>
      <c r="H54" s="323"/>
      <c r="I54" s="323"/>
      <c r="J54" s="323"/>
      <c r="K54" s="323"/>
      <c r="L54" s="323"/>
      <c r="M54" s="10"/>
    </row>
    <row r="55" spans="1:13">
      <c r="F55" s="4"/>
      <c r="G55" s="324"/>
      <c r="H55" s="324"/>
      <c r="I55" s="324"/>
      <c r="J55" s="324"/>
      <c r="K55" s="324"/>
      <c r="L55" s="324"/>
      <c r="M55" s="6"/>
    </row>
    <row r="56" spans="1:13">
      <c r="G56" s="47"/>
      <c r="H56" s="47"/>
      <c r="I56" s="47"/>
      <c r="J56" s="47"/>
      <c r="K56" s="47"/>
      <c r="L56" s="47"/>
    </row>
    <row r="57" spans="1:13">
      <c r="G57" s="47"/>
      <c r="H57" s="47"/>
      <c r="I57" s="47"/>
      <c r="J57" s="47"/>
      <c r="K57" s="47"/>
      <c r="L57" s="47"/>
    </row>
    <row r="59" spans="1:13">
      <c r="E59" s="13"/>
      <c r="G59" s="13"/>
      <c r="H59" s="13"/>
      <c r="I59" s="13"/>
      <c r="J59" s="13"/>
    </row>
    <row r="61" spans="1:13" ht="30" customHeight="1"/>
  </sheetData>
  <sheetProtection selectLockedCells="1"/>
  <mergeCells count="12">
    <mergeCell ref="G54:L55"/>
    <mergeCell ref="J5:K5"/>
    <mergeCell ref="A8:C8"/>
    <mergeCell ref="A9:C11"/>
    <mergeCell ref="B17:L18"/>
    <mergeCell ref="B19:L24"/>
    <mergeCell ref="B27:L28"/>
    <mergeCell ref="B29:L32"/>
    <mergeCell ref="B35:L36"/>
    <mergeCell ref="B37:L40"/>
    <mergeCell ref="F48:L49"/>
    <mergeCell ref="G50:L53"/>
  </mergeCells>
  <phoneticPr fontId="1"/>
  <pageMargins left="0.90551181102362199" right="0.51181102362204722" top="0.15748031496062992" bottom="0.15748031496062992" header="0" footer="0"/>
  <pageSetup paperSize="9" scale="99" fitToWidth="0" orientation="portrait" horizontalDpi="4294967293"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7">
    <tabColor rgb="FF00B0F0"/>
    <pageSetUpPr fitToPage="1"/>
  </sheetPr>
  <dimension ref="A1:M61"/>
  <sheetViews>
    <sheetView topLeftCell="A2" zoomScale="86" zoomScaleNormal="86" workbookViewId="0">
      <selection activeCell="M49" sqref="M49"/>
    </sheetView>
  </sheetViews>
  <sheetFormatPr defaultRowHeight="13.5"/>
  <cols>
    <col min="1" max="1" width="2.75" customWidth="1"/>
    <col min="2" max="2" width="7" customWidth="1"/>
    <col min="4" max="4" width="2.75" customWidth="1"/>
    <col min="5" max="5" width="7" customWidth="1"/>
    <col min="6" max="6" width="2.75" customWidth="1"/>
    <col min="7" max="7" width="7" customWidth="1"/>
    <col min="8" max="8" width="9" customWidth="1"/>
    <col min="12" max="12" width="7" customWidth="1"/>
    <col min="13" max="13" width="2.75" customWidth="1"/>
    <col min="14" max="14" width="9" customWidth="1"/>
  </cols>
  <sheetData>
    <row r="1" spans="1:12" ht="30" customHeight="1"/>
    <row r="2" spans="1:12" ht="33" customHeight="1"/>
    <row r="3" spans="1:12" s="28" customFormat="1" ht="13.5" customHeight="1">
      <c r="A3" s="107" t="s">
        <v>20</v>
      </c>
      <c r="J3" s="108" t="s">
        <v>21</v>
      </c>
      <c r="L3" s="1" t="s">
        <v>96</v>
      </c>
    </row>
    <row r="4" spans="1:12" s="28" customFormat="1" ht="13.5" customHeight="1"/>
    <row r="5" spans="1:12" s="28" customFormat="1" ht="18.75" customHeight="1">
      <c r="F5" s="86" t="s">
        <v>23</v>
      </c>
      <c r="G5" s="88"/>
      <c r="H5" s="88"/>
      <c r="I5" s="88"/>
      <c r="J5" s="293">
        <f>入力データ!C18</f>
        <v>0</v>
      </c>
      <c r="K5" s="293"/>
      <c r="L5" s="89" t="s">
        <v>24</v>
      </c>
    </row>
    <row r="8" spans="1:12" ht="27.75" customHeight="1">
      <c r="A8" s="297" t="s">
        <v>97</v>
      </c>
      <c r="B8" s="297"/>
      <c r="C8" s="297"/>
      <c r="E8" s="107" t="s">
        <v>98</v>
      </c>
    </row>
    <row r="9" spans="1:12" ht="13.5" customHeight="1">
      <c r="A9" s="298">
        <v>33</v>
      </c>
      <c r="B9" s="299"/>
      <c r="C9" s="300"/>
    </row>
    <row r="10" spans="1:12" ht="13.5" customHeight="1">
      <c r="A10" s="301"/>
      <c r="B10" s="302"/>
      <c r="C10" s="303"/>
      <c r="E10" s="107" t="s">
        <v>99</v>
      </c>
    </row>
    <row r="11" spans="1:12" ht="13.5" customHeight="1">
      <c r="A11" s="304"/>
      <c r="B11" s="305"/>
      <c r="C11" s="306"/>
      <c r="E11" s="107" t="s">
        <v>100</v>
      </c>
    </row>
    <row r="12" spans="1:12" ht="13.5" customHeight="1">
      <c r="C12" s="45"/>
      <c r="E12" s="1"/>
    </row>
    <row r="14" spans="1:12">
      <c r="A14" s="110" t="s">
        <v>101</v>
      </c>
    </row>
    <row r="15" spans="1:12">
      <c r="A15" s="110" t="s">
        <v>102</v>
      </c>
    </row>
    <row r="17" spans="1:13">
      <c r="A17" s="212"/>
      <c r="B17" s="295" t="s">
        <v>103</v>
      </c>
      <c r="C17" s="295"/>
      <c r="D17" s="295"/>
      <c r="E17" s="295"/>
      <c r="F17" s="295"/>
      <c r="G17" s="295"/>
      <c r="H17" s="295"/>
      <c r="I17" s="295"/>
      <c r="J17" s="295"/>
      <c r="K17" s="295"/>
      <c r="L17" s="295"/>
      <c r="M17" s="212"/>
    </row>
    <row r="18" spans="1:13">
      <c r="A18" s="212"/>
      <c r="B18" s="295"/>
      <c r="C18" s="295"/>
      <c r="D18" s="295"/>
      <c r="E18" s="295"/>
      <c r="F18" s="295"/>
      <c r="G18" s="295"/>
      <c r="H18" s="295"/>
      <c r="I18" s="295"/>
      <c r="J18" s="295"/>
      <c r="K18" s="295"/>
      <c r="L18" s="295"/>
      <c r="M18" s="212"/>
    </row>
    <row r="19" spans="1:13">
      <c r="A19" s="26"/>
      <c r="B19" s="320" t="str">
        <f>LOOKUP(A9,個性数!A3:A14,個性数!D3:D14)</f>
        <v>有名人では、羽生結弦、福山雅治などが誕生数に「３３」を持っています。
自ら創造と破壊を繰り返しながら、人々を分離感から「統合」へと導く「普遍的な愛」がテーマの平和主義者。独創的な世界観を持つ愛情深い人です。３の要素の子供っぽい無邪気な感性、表現力と６の母性、養育、美の資質を含み、常にグループ、社会全体に目を向け調和を整えることに意識を向けます。</v>
      </c>
      <c r="C19" s="320"/>
      <c r="D19" s="320"/>
      <c r="E19" s="320"/>
      <c r="F19" s="320"/>
      <c r="G19" s="320"/>
      <c r="H19" s="320"/>
      <c r="I19" s="320"/>
      <c r="J19" s="320"/>
      <c r="K19" s="320"/>
      <c r="L19" s="320"/>
      <c r="M19" s="3"/>
    </row>
    <row r="20" spans="1:13">
      <c r="A20" s="27"/>
      <c r="B20" s="230"/>
      <c r="C20" s="230"/>
      <c r="D20" s="230"/>
      <c r="E20" s="230"/>
      <c r="F20" s="230"/>
      <c r="G20" s="230"/>
      <c r="H20" s="230"/>
      <c r="I20" s="230"/>
      <c r="J20" s="230"/>
      <c r="K20" s="230"/>
      <c r="L20" s="230"/>
      <c r="M20" s="10"/>
    </row>
    <row r="21" spans="1:13">
      <c r="A21" s="27"/>
      <c r="B21" s="230"/>
      <c r="C21" s="230"/>
      <c r="D21" s="230"/>
      <c r="E21" s="230"/>
      <c r="F21" s="230"/>
      <c r="G21" s="230"/>
      <c r="H21" s="230"/>
      <c r="I21" s="230"/>
      <c r="J21" s="230"/>
      <c r="K21" s="230"/>
      <c r="L21" s="230"/>
      <c r="M21" s="10"/>
    </row>
    <row r="22" spans="1:13">
      <c r="A22" s="27"/>
      <c r="B22" s="230"/>
      <c r="C22" s="230"/>
      <c r="D22" s="230"/>
      <c r="E22" s="230"/>
      <c r="F22" s="230"/>
      <c r="G22" s="230"/>
      <c r="H22" s="230"/>
      <c r="I22" s="230"/>
      <c r="J22" s="230"/>
      <c r="K22" s="230"/>
      <c r="L22" s="230"/>
      <c r="M22" s="10"/>
    </row>
    <row r="23" spans="1:13">
      <c r="A23" s="27"/>
      <c r="B23" s="230"/>
      <c r="C23" s="230"/>
      <c r="D23" s="230"/>
      <c r="E23" s="230"/>
      <c r="F23" s="230"/>
      <c r="G23" s="230"/>
      <c r="H23" s="230"/>
      <c r="I23" s="230"/>
      <c r="J23" s="230"/>
      <c r="K23" s="230"/>
      <c r="L23" s="230"/>
      <c r="M23" s="10"/>
    </row>
    <row r="24" spans="1:13">
      <c r="A24" s="4"/>
      <c r="B24" s="321"/>
      <c r="C24" s="321"/>
      <c r="D24" s="321"/>
      <c r="E24" s="321"/>
      <c r="F24" s="321"/>
      <c r="G24" s="321"/>
      <c r="H24" s="321"/>
      <c r="I24" s="321"/>
      <c r="J24" s="321"/>
      <c r="K24" s="321"/>
      <c r="L24" s="321"/>
      <c r="M24" s="6"/>
    </row>
    <row r="27" spans="1:13">
      <c r="A27" s="212"/>
      <c r="B27" s="326" t="s">
        <v>90</v>
      </c>
      <c r="C27" s="326"/>
      <c r="D27" s="326"/>
      <c r="E27" s="326"/>
      <c r="F27" s="326"/>
      <c r="G27" s="326"/>
      <c r="H27" s="326"/>
      <c r="I27" s="326"/>
      <c r="J27" s="326"/>
      <c r="K27" s="326"/>
      <c r="L27" s="326"/>
      <c r="M27" s="212"/>
    </row>
    <row r="28" spans="1:13">
      <c r="A28" s="212"/>
      <c r="B28" s="326"/>
      <c r="C28" s="326"/>
      <c r="D28" s="326"/>
      <c r="E28" s="326"/>
      <c r="F28" s="326"/>
      <c r="G28" s="326"/>
      <c r="H28" s="326"/>
      <c r="I28" s="326"/>
      <c r="J28" s="326"/>
      <c r="K28" s="326"/>
      <c r="L28" s="326"/>
      <c r="M28" s="212"/>
    </row>
    <row r="29" spans="1:13">
      <c r="A29" s="26"/>
      <c r="B29" s="320" t="str">
        <f>LOOKUP(A9,個性数!A3:A14,個性数!E3:E14)</f>
        <v>テーマの「無償の愛」が親切を大きく上回り、おせっかい、独占欲に働きます。  
また、相手にもあたり前に「愛情」「やさしさ」を求め、他人より「愛されていること」を確認し優位に立ちたい傾向に傾きます。</v>
      </c>
      <c r="C29" s="320"/>
      <c r="D29" s="320"/>
      <c r="E29" s="320"/>
      <c r="F29" s="320"/>
      <c r="G29" s="320"/>
      <c r="H29" s="320"/>
      <c r="I29" s="320"/>
      <c r="J29" s="320"/>
      <c r="K29" s="320"/>
      <c r="L29" s="320"/>
      <c r="M29" s="3"/>
    </row>
    <row r="30" spans="1:13">
      <c r="A30" s="27"/>
      <c r="B30" s="230"/>
      <c r="C30" s="230"/>
      <c r="D30" s="230"/>
      <c r="E30" s="230"/>
      <c r="F30" s="230"/>
      <c r="G30" s="230"/>
      <c r="H30" s="230"/>
      <c r="I30" s="230"/>
      <c r="J30" s="230"/>
      <c r="K30" s="230"/>
      <c r="L30" s="230"/>
      <c r="M30" s="10"/>
    </row>
    <row r="31" spans="1:13">
      <c r="A31" s="27"/>
      <c r="B31" s="230"/>
      <c r="C31" s="230"/>
      <c r="D31" s="230"/>
      <c r="E31" s="230"/>
      <c r="F31" s="230"/>
      <c r="G31" s="230"/>
      <c r="H31" s="230"/>
      <c r="I31" s="230"/>
      <c r="J31" s="230"/>
      <c r="K31" s="230"/>
      <c r="L31" s="230"/>
      <c r="M31" s="10"/>
    </row>
    <row r="32" spans="1:13">
      <c r="A32" s="4"/>
      <c r="B32" s="321"/>
      <c r="C32" s="321"/>
      <c r="D32" s="321"/>
      <c r="E32" s="321"/>
      <c r="F32" s="321"/>
      <c r="G32" s="321"/>
      <c r="H32" s="321"/>
      <c r="I32" s="321"/>
      <c r="J32" s="321"/>
      <c r="K32" s="321"/>
      <c r="L32" s="321"/>
      <c r="M32" s="6"/>
    </row>
    <row r="35" spans="1:13">
      <c r="A35" s="212"/>
      <c r="B35" s="295" t="s">
        <v>91</v>
      </c>
      <c r="C35" s="295"/>
      <c r="D35" s="295"/>
      <c r="E35" s="295"/>
      <c r="F35" s="295"/>
      <c r="G35" s="295"/>
      <c r="H35" s="295"/>
      <c r="I35" s="295"/>
      <c r="J35" s="295"/>
      <c r="K35" s="295"/>
      <c r="L35" s="295"/>
      <c r="M35" s="212"/>
    </row>
    <row r="36" spans="1:13">
      <c r="A36" s="212"/>
      <c r="B36" s="295"/>
      <c r="C36" s="295"/>
      <c r="D36" s="295"/>
      <c r="E36" s="295"/>
      <c r="F36" s="295"/>
      <c r="G36" s="295"/>
      <c r="H36" s="295"/>
      <c r="I36" s="295"/>
      <c r="J36" s="295"/>
      <c r="K36" s="295"/>
      <c r="L36" s="295"/>
      <c r="M36" s="212"/>
    </row>
    <row r="37" spans="1:13">
      <c r="A37" s="26"/>
      <c r="B37" s="320" t="str">
        <f>LOOKUP(A9,個性数!A3:A14,個性数!F3:F14)</f>
        <v>「自分は愛されていない」「愛を与えられていない」との思い込み、不安がどんどん加速し自己犠牲の現象でそれを味わいます。
失望感を味わいながら、安心できる居場所を精神世界に求め続けます。</v>
      </c>
      <c r="C37" s="320"/>
      <c r="D37" s="320"/>
      <c r="E37" s="320"/>
      <c r="F37" s="320"/>
      <c r="G37" s="320"/>
      <c r="H37" s="320"/>
      <c r="I37" s="320"/>
      <c r="J37" s="320"/>
      <c r="K37" s="320"/>
      <c r="L37" s="320"/>
      <c r="M37" s="3"/>
    </row>
    <row r="38" spans="1:13">
      <c r="A38" s="27"/>
      <c r="B38" s="230"/>
      <c r="C38" s="230"/>
      <c r="D38" s="230"/>
      <c r="E38" s="230"/>
      <c r="F38" s="230"/>
      <c r="G38" s="230"/>
      <c r="H38" s="230"/>
      <c r="I38" s="230"/>
      <c r="J38" s="230"/>
      <c r="K38" s="230"/>
      <c r="L38" s="230"/>
      <c r="M38" s="10"/>
    </row>
    <row r="39" spans="1:13">
      <c r="A39" s="27"/>
      <c r="B39" s="230"/>
      <c r="C39" s="230"/>
      <c r="D39" s="230"/>
      <c r="E39" s="230"/>
      <c r="F39" s="230"/>
      <c r="G39" s="230"/>
      <c r="H39" s="230"/>
      <c r="I39" s="230"/>
      <c r="J39" s="230"/>
      <c r="K39" s="230"/>
      <c r="L39" s="230"/>
      <c r="M39" s="10"/>
    </row>
    <row r="40" spans="1:13">
      <c r="A40" s="4"/>
      <c r="B40" s="321"/>
      <c r="C40" s="321"/>
      <c r="D40" s="321"/>
      <c r="E40" s="321"/>
      <c r="F40" s="321"/>
      <c r="G40" s="321"/>
      <c r="H40" s="321"/>
      <c r="I40" s="321"/>
      <c r="J40" s="321"/>
      <c r="K40" s="321"/>
      <c r="L40" s="321"/>
      <c r="M40" s="6"/>
    </row>
    <row r="46" spans="1:13">
      <c r="A46" s="13"/>
    </row>
    <row r="48" spans="1:13" ht="13.5" customHeight="1">
      <c r="A48" s="107" t="s">
        <v>76</v>
      </c>
      <c r="F48" s="322" t="s">
        <v>77</v>
      </c>
      <c r="G48" s="322"/>
      <c r="H48" s="322"/>
      <c r="I48" s="322"/>
      <c r="J48" s="322"/>
      <c r="K48" s="322"/>
      <c r="L48" s="322"/>
      <c r="M48" s="213"/>
    </row>
    <row r="49" spans="1:13" ht="13.5" customHeight="1">
      <c r="F49" s="322"/>
      <c r="G49" s="322"/>
      <c r="H49" s="322"/>
      <c r="I49" s="322"/>
      <c r="J49" s="322"/>
      <c r="K49" s="322"/>
      <c r="L49" s="322"/>
      <c r="M49" s="213"/>
    </row>
    <row r="50" spans="1:13" ht="13.5" customHeight="1">
      <c r="A50" s="107" t="s">
        <v>104</v>
      </c>
      <c r="F50" s="26"/>
      <c r="G50" s="320" t="str">
        <f>LOOKUP(A9,体験ｽﾄｰﾘｰ!A3:A14,体験ｽﾄｰﾘｰ!F3:F14)</f>
        <v>「人の役に立ちたいと思いながらも、自分には力がないとの思い込み」
あなたが創りたい世界とは、どんな世界ですか？　　　　　　　　　　　　　</v>
      </c>
      <c r="H50" s="320"/>
      <c r="I50" s="320"/>
      <c r="J50" s="320"/>
      <c r="K50" s="320"/>
      <c r="L50" s="320"/>
      <c r="M50" s="3"/>
    </row>
    <row r="51" spans="1:13" ht="13.5" customHeight="1">
      <c r="A51" s="107" t="s">
        <v>79</v>
      </c>
      <c r="F51" s="27"/>
      <c r="G51" s="230"/>
      <c r="H51" s="230"/>
      <c r="I51" s="230"/>
      <c r="J51" s="230"/>
      <c r="K51" s="230"/>
      <c r="L51" s="230"/>
      <c r="M51" s="10"/>
    </row>
    <row r="52" spans="1:13" ht="13.5" customHeight="1">
      <c r="A52" s="107" t="s">
        <v>80</v>
      </c>
      <c r="F52" s="27"/>
      <c r="G52" s="230"/>
      <c r="H52" s="230"/>
      <c r="I52" s="230"/>
      <c r="J52" s="230"/>
      <c r="K52" s="230"/>
      <c r="L52" s="230"/>
      <c r="M52" s="10"/>
    </row>
    <row r="53" spans="1:13" ht="13.5" customHeight="1">
      <c r="F53" s="27"/>
      <c r="G53" s="230"/>
      <c r="H53" s="230"/>
      <c r="I53" s="230"/>
      <c r="J53" s="230"/>
      <c r="K53" s="230"/>
      <c r="L53" s="230"/>
      <c r="M53" s="10"/>
    </row>
    <row r="54" spans="1:13" ht="13.5" customHeight="1">
      <c r="F54" s="27"/>
      <c r="G54" s="323" t="str">
        <f>LOOKUP(A9,体験ｽﾄｰﾘｰ!A3:A14,体験ｽﾄｰﾘｰ!G3:G14)</f>
        <v>「自らを高めることで影響力を与えるストーリー」</v>
      </c>
      <c r="H54" s="323"/>
      <c r="I54" s="323"/>
      <c r="J54" s="323"/>
      <c r="K54" s="323"/>
      <c r="L54" s="323"/>
      <c r="M54" s="10"/>
    </row>
    <row r="55" spans="1:13">
      <c r="F55" s="4"/>
      <c r="G55" s="324"/>
      <c r="H55" s="324"/>
      <c r="I55" s="324"/>
      <c r="J55" s="324"/>
      <c r="K55" s="324"/>
      <c r="L55" s="324"/>
      <c r="M55" s="6"/>
    </row>
    <row r="56" spans="1:13">
      <c r="G56" s="47"/>
      <c r="H56" s="47"/>
      <c r="I56" s="47"/>
      <c r="J56" s="47"/>
      <c r="K56" s="47"/>
      <c r="L56" s="47"/>
    </row>
    <row r="57" spans="1:13">
      <c r="G57" s="47"/>
      <c r="H57" s="47"/>
      <c r="I57" s="47"/>
      <c r="J57" s="47"/>
      <c r="K57" s="47"/>
      <c r="L57" s="47"/>
    </row>
    <row r="59" spans="1:13">
      <c r="E59" s="13" t="s">
        <v>105</v>
      </c>
      <c r="G59" s="13"/>
      <c r="H59" s="13"/>
      <c r="I59" s="13"/>
      <c r="J59" s="13"/>
    </row>
    <row r="61" spans="1:13" ht="30" customHeight="1"/>
  </sheetData>
  <sheetProtection selectLockedCells="1"/>
  <mergeCells count="12">
    <mergeCell ref="G54:L55"/>
    <mergeCell ref="J5:K5"/>
    <mergeCell ref="A8:C8"/>
    <mergeCell ref="A9:C11"/>
    <mergeCell ref="B17:L18"/>
    <mergeCell ref="B19:L24"/>
    <mergeCell ref="B27:L28"/>
    <mergeCell ref="B29:L32"/>
    <mergeCell ref="B35:L36"/>
    <mergeCell ref="B37:L40"/>
    <mergeCell ref="F48:L49"/>
    <mergeCell ref="G50:L53"/>
  </mergeCells>
  <phoneticPr fontId="1"/>
  <pageMargins left="0.90551181102362199" right="0.51181102362204722" top="0.15748031496062992" bottom="0.15748031496062992" header="0" footer="0"/>
  <pageSetup paperSize="9" scale="99" fitToWidth="0"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00B050"/>
  </sheetPr>
  <dimension ref="A1:N62"/>
  <sheetViews>
    <sheetView topLeftCell="A11" zoomScale="70" zoomScaleNormal="70" workbookViewId="0">
      <selection activeCell="A16" sqref="A16:C18"/>
    </sheetView>
  </sheetViews>
  <sheetFormatPr defaultRowHeight="13.5"/>
  <cols>
    <col min="1" max="1" width="2.75" customWidth="1"/>
    <col min="2" max="2" width="7" customWidth="1"/>
    <col min="4" max="4" width="2.75" customWidth="1"/>
    <col min="5" max="5" width="6.375" customWidth="1"/>
    <col min="6" max="6" width="2.75" customWidth="1"/>
    <col min="7" max="7" width="7" customWidth="1"/>
    <col min="9" max="9" width="9" customWidth="1"/>
    <col min="12" max="12" width="3.25" customWidth="1"/>
    <col min="15" max="15" width="9" customWidth="1"/>
    <col min="16" max="16" width="3.25" customWidth="1"/>
  </cols>
  <sheetData>
    <row r="1" spans="1:13" ht="30" customHeight="1"/>
    <row r="2" spans="1:13" ht="33" customHeight="1"/>
    <row r="3" spans="1:13" s="28" customFormat="1" ht="13.5" customHeight="1">
      <c r="A3" s="107" t="s">
        <v>20</v>
      </c>
      <c r="J3" s="108" t="s">
        <v>21</v>
      </c>
      <c r="M3" s="1" t="s">
        <v>107</v>
      </c>
    </row>
    <row r="4" spans="1:13" s="28" customFormat="1" ht="13.5" customHeight="1"/>
    <row r="5" spans="1:13" s="28" customFormat="1" ht="18.75" customHeight="1">
      <c r="G5" s="90"/>
      <c r="H5" s="88" t="s">
        <v>23</v>
      </c>
      <c r="I5" s="88"/>
      <c r="J5" s="293">
        <f>入力データ!C18</f>
        <v>0</v>
      </c>
      <c r="K5" s="293"/>
      <c r="L5" s="88"/>
      <c r="M5" s="89" t="s">
        <v>24</v>
      </c>
    </row>
    <row r="8" spans="1:13" s="13" customFormat="1" ht="13.5" customHeight="1">
      <c r="A8" s="107" t="s">
        <v>108</v>
      </c>
    </row>
    <row r="9" spans="1:13" s="13" customFormat="1" ht="13.5" customHeight="1">
      <c r="A9" s="107" t="s">
        <v>109</v>
      </c>
    </row>
    <row r="10" spans="1:13" s="13" customFormat="1" ht="13.5" customHeight="1"/>
    <row r="11" spans="1:13" s="13" customFormat="1" ht="13.5" customHeight="1">
      <c r="A11" s="110" t="s">
        <v>110</v>
      </c>
    </row>
    <row r="14" spans="1:13" ht="13.5" customHeight="1">
      <c r="A14" s="322" t="s">
        <v>111</v>
      </c>
      <c r="B14" s="322"/>
      <c r="C14" s="322"/>
      <c r="E14" s="107" t="s">
        <v>112</v>
      </c>
    </row>
    <row r="15" spans="1:13" ht="13.5" customHeight="1">
      <c r="A15" s="322"/>
      <c r="B15" s="322"/>
      <c r="C15" s="322"/>
      <c r="E15" s="107" t="s">
        <v>113</v>
      </c>
    </row>
    <row r="16" spans="1:13" ht="13.5" customHeight="1">
      <c r="A16" s="332" t="str">
        <f>入力データ!R19</f>
        <v/>
      </c>
      <c r="B16" s="333"/>
      <c r="C16" s="334"/>
    </row>
    <row r="17" spans="1:14" ht="13.5" customHeight="1">
      <c r="A17" s="335"/>
      <c r="B17" s="336"/>
      <c r="C17" s="337"/>
      <c r="E17" s="110" t="s">
        <v>114</v>
      </c>
    </row>
    <row r="18" spans="1:14" ht="13.5" customHeight="1">
      <c r="A18" s="338"/>
      <c r="B18" s="339"/>
      <c r="C18" s="340"/>
      <c r="E18" s="110" t="s">
        <v>115</v>
      </c>
    </row>
    <row r="21" spans="1:14" ht="13.5" customHeight="1">
      <c r="A21" s="331" t="s">
        <v>116</v>
      </c>
      <c r="B21" s="331"/>
      <c r="C21" s="331"/>
      <c r="D21" s="331"/>
      <c r="E21" s="331"/>
      <c r="F21" s="331"/>
      <c r="G21" s="331"/>
      <c r="H21" s="331"/>
      <c r="I21" s="331"/>
      <c r="J21" s="331"/>
      <c r="K21" s="331"/>
      <c r="L21" s="179"/>
    </row>
    <row r="22" spans="1:14" ht="13.5" customHeight="1">
      <c r="A22" s="331"/>
      <c r="B22" s="331"/>
      <c r="C22" s="331"/>
      <c r="D22" s="331"/>
      <c r="E22" s="331"/>
      <c r="F22" s="331"/>
      <c r="G22" s="331"/>
      <c r="H22" s="331"/>
      <c r="I22" s="331"/>
      <c r="J22" s="331"/>
      <c r="K22" s="331"/>
      <c r="L22" s="179"/>
    </row>
    <row r="23" spans="1:14" ht="13.5" customHeight="1">
      <c r="A23" s="26"/>
      <c r="B23" s="327" t="e">
        <f>LOOKUP(A16,天命数!A3:A12,天命数!B3:B12)</f>
        <v>#N/A</v>
      </c>
      <c r="C23" s="327"/>
      <c r="D23" s="327"/>
      <c r="E23" s="327"/>
      <c r="F23" s="327"/>
      <c r="G23" s="327"/>
      <c r="H23" s="327"/>
      <c r="I23" s="327"/>
      <c r="J23" s="327"/>
      <c r="K23" s="327"/>
      <c r="L23" s="3"/>
      <c r="M23" s="77"/>
      <c r="N23" s="77"/>
    </row>
    <row r="24" spans="1:14" ht="13.5" customHeight="1">
      <c r="A24" s="27"/>
      <c r="B24" s="328"/>
      <c r="C24" s="328"/>
      <c r="D24" s="328"/>
      <c r="E24" s="328"/>
      <c r="F24" s="328"/>
      <c r="G24" s="328"/>
      <c r="H24" s="328"/>
      <c r="I24" s="328"/>
      <c r="J24" s="328"/>
      <c r="K24" s="328"/>
      <c r="L24" s="10"/>
      <c r="M24" s="77"/>
      <c r="N24" s="77"/>
    </row>
    <row r="25" spans="1:14" ht="13.5" customHeight="1">
      <c r="A25" s="27"/>
      <c r="B25" s="328"/>
      <c r="C25" s="328"/>
      <c r="D25" s="328"/>
      <c r="E25" s="328"/>
      <c r="F25" s="328"/>
      <c r="G25" s="328"/>
      <c r="H25" s="328"/>
      <c r="I25" s="328"/>
      <c r="J25" s="328"/>
      <c r="K25" s="328"/>
      <c r="L25" s="10"/>
      <c r="M25" s="77"/>
      <c r="N25" s="77"/>
    </row>
    <row r="26" spans="1:14" ht="13.5" customHeight="1">
      <c r="A26" s="27"/>
      <c r="B26" s="328"/>
      <c r="C26" s="328"/>
      <c r="D26" s="328"/>
      <c r="E26" s="328"/>
      <c r="F26" s="328"/>
      <c r="G26" s="328"/>
      <c r="H26" s="328"/>
      <c r="I26" s="328"/>
      <c r="J26" s="328"/>
      <c r="K26" s="328"/>
      <c r="L26" s="10"/>
      <c r="M26" s="77"/>
      <c r="N26" s="77"/>
    </row>
    <row r="27" spans="1:14" ht="9" customHeight="1">
      <c r="A27" s="27"/>
      <c r="L27" s="10"/>
    </row>
    <row r="28" spans="1:14" ht="13.5" customHeight="1">
      <c r="A28" s="27"/>
      <c r="B28" s="329" t="e">
        <f>LOOKUP(A16,天命数!A3:A12,天命数!C3:C12)</f>
        <v>#N/A</v>
      </c>
      <c r="C28" s="329"/>
      <c r="D28" s="329"/>
      <c r="E28" s="329"/>
      <c r="F28" s="329"/>
      <c r="G28" s="329"/>
      <c r="H28" s="329"/>
      <c r="I28" s="329"/>
      <c r="J28" s="329"/>
      <c r="K28" s="329"/>
      <c r="L28" s="10"/>
      <c r="M28" s="78"/>
      <c r="N28" s="78"/>
    </row>
    <row r="29" spans="1:14">
      <c r="A29" s="27"/>
      <c r="B29" s="329"/>
      <c r="C29" s="329"/>
      <c r="D29" s="329"/>
      <c r="E29" s="329"/>
      <c r="F29" s="329"/>
      <c r="G29" s="329"/>
      <c r="H29" s="329"/>
      <c r="I29" s="329"/>
      <c r="J29" s="329"/>
      <c r="K29" s="329"/>
      <c r="L29" s="10"/>
      <c r="M29" s="78"/>
      <c r="N29" s="78"/>
    </row>
    <row r="30" spans="1:14">
      <c r="A30" s="4"/>
      <c r="B30" s="330"/>
      <c r="C30" s="330"/>
      <c r="D30" s="330"/>
      <c r="E30" s="330"/>
      <c r="F30" s="330"/>
      <c r="G30" s="330"/>
      <c r="H30" s="330"/>
      <c r="I30" s="330"/>
      <c r="J30" s="330"/>
      <c r="K30" s="330"/>
      <c r="L30" s="6"/>
      <c r="M30" s="78"/>
      <c r="N30" s="78"/>
    </row>
    <row r="33" spans="1:12" ht="13.5" customHeight="1">
      <c r="A33" s="322" t="s">
        <v>8</v>
      </c>
      <c r="B33" s="322"/>
      <c r="C33" s="322"/>
      <c r="F33" s="331" t="s">
        <v>117</v>
      </c>
      <c r="G33" s="331"/>
      <c r="H33" s="331"/>
      <c r="I33" s="331"/>
      <c r="J33" s="331"/>
      <c r="K33" s="331"/>
      <c r="L33" s="179"/>
    </row>
    <row r="34" spans="1:12" ht="13.5" customHeight="1">
      <c r="A34" s="322"/>
      <c r="B34" s="322"/>
      <c r="C34" s="322"/>
      <c r="F34" s="331"/>
      <c r="G34" s="331"/>
      <c r="H34" s="331"/>
      <c r="I34" s="331"/>
      <c r="J34" s="331"/>
      <c r="K34" s="331"/>
      <c r="L34" s="179"/>
    </row>
    <row r="35" spans="1:12" ht="13.5" customHeight="1">
      <c r="A35" s="341" t="str">
        <f>入力データ!S19</f>
        <v/>
      </c>
      <c r="B35" s="342"/>
      <c r="C35" s="343"/>
      <c r="F35" s="26"/>
      <c r="G35" s="320" t="e">
        <f>LOOKUP(A35,天命数!A3:A12,天命数!D3:D12)</f>
        <v>#N/A</v>
      </c>
      <c r="H35" s="320"/>
      <c r="I35" s="320"/>
      <c r="J35" s="320"/>
      <c r="K35" s="320"/>
      <c r="L35" s="3"/>
    </row>
    <row r="36" spans="1:12" ht="13.5" customHeight="1">
      <c r="A36" s="344"/>
      <c r="B36" s="345"/>
      <c r="C36" s="346"/>
      <c r="F36" s="27"/>
      <c r="G36" s="230"/>
      <c r="H36" s="230"/>
      <c r="I36" s="230"/>
      <c r="J36" s="230"/>
      <c r="K36" s="230"/>
      <c r="L36" s="10"/>
    </row>
    <row r="37" spans="1:12" ht="13.5" customHeight="1">
      <c r="A37" s="347"/>
      <c r="B37" s="348"/>
      <c r="C37" s="349"/>
      <c r="F37" s="27"/>
      <c r="G37" s="230"/>
      <c r="H37" s="230"/>
      <c r="I37" s="230"/>
      <c r="J37" s="230"/>
      <c r="K37" s="230"/>
      <c r="L37" s="10"/>
    </row>
    <row r="38" spans="1:12">
      <c r="F38" s="27"/>
      <c r="G38" s="230"/>
      <c r="H38" s="230"/>
      <c r="I38" s="230"/>
      <c r="J38" s="230"/>
      <c r="K38" s="230"/>
      <c r="L38" s="10"/>
    </row>
    <row r="39" spans="1:12">
      <c r="F39" s="27"/>
      <c r="G39" s="230"/>
      <c r="H39" s="230"/>
      <c r="I39" s="230"/>
      <c r="J39" s="230"/>
      <c r="K39" s="230"/>
      <c r="L39" s="10"/>
    </row>
    <row r="40" spans="1:12">
      <c r="F40" s="27"/>
      <c r="G40" s="230"/>
      <c r="H40" s="230"/>
      <c r="I40" s="230"/>
      <c r="J40" s="230"/>
      <c r="K40" s="230"/>
      <c r="L40" s="10"/>
    </row>
    <row r="41" spans="1:12">
      <c r="F41" s="27"/>
      <c r="G41" s="230"/>
      <c r="H41" s="230"/>
      <c r="I41" s="230"/>
      <c r="J41" s="230"/>
      <c r="K41" s="230"/>
      <c r="L41" s="10"/>
    </row>
    <row r="42" spans="1:12">
      <c r="F42" s="4"/>
      <c r="G42" s="321"/>
      <c r="H42" s="321"/>
      <c r="I42" s="321"/>
      <c r="J42" s="321"/>
      <c r="K42" s="321"/>
      <c r="L42" s="6"/>
    </row>
    <row r="43" spans="1:12" ht="13.5" customHeight="1">
      <c r="B43" s="46"/>
      <c r="C43" s="46"/>
      <c r="E43" s="46"/>
      <c r="G43" s="46"/>
      <c r="H43" s="46"/>
      <c r="I43" s="46"/>
      <c r="J43" s="46"/>
      <c r="K43" s="46"/>
    </row>
    <row r="45" spans="1:12" ht="13.5" customHeight="1">
      <c r="A45" s="176"/>
      <c r="B45" s="297" t="s">
        <v>118</v>
      </c>
      <c r="C45" s="297"/>
      <c r="D45" s="297"/>
      <c r="E45" s="297"/>
      <c r="F45" s="297"/>
      <c r="G45" s="297"/>
      <c r="H45" s="297"/>
      <c r="I45" s="297"/>
      <c r="J45" s="297"/>
      <c r="K45" s="297"/>
      <c r="L45" s="176"/>
    </row>
    <row r="46" spans="1:12" ht="13.5" customHeight="1">
      <c r="A46" s="178"/>
      <c r="B46" s="297"/>
      <c r="C46" s="297"/>
      <c r="D46" s="297"/>
      <c r="E46" s="297"/>
      <c r="F46" s="297"/>
      <c r="G46" s="297"/>
      <c r="H46" s="297"/>
      <c r="I46" s="297"/>
      <c r="J46" s="297"/>
      <c r="K46" s="297"/>
      <c r="L46" s="176"/>
    </row>
    <row r="49" spans="2:13" ht="14.25" customHeight="1">
      <c r="B49" s="350" t="s">
        <v>111</v>
      </c>
      <c r="C49" s="351"/>
      <c r="D49" s="366" t="s">
        <v>119</v>
      </c>
      <c r="E49" s="356"/>
      <c r="F49" s="367"/>
      <c r="G49" s="350" t="s">
        <v>120</v>
      </c>
      <c r="H49" s="351"/>
      <c r="I49" s="356" t="s">
        <v>121</v>
      </c>
      <c r="J49" s="357" t="s">
        <v>122</v>
      </c>
      <c r="K49" s="358"/>
      <c r="L49" s="358"/>
      <c r="M49" s="359"/>
    </row>
    <row r="50" spans="2:13" ht="16.5" customHeight="1">
      <c r="B50" s="352"/>
      <c r="C50" s="353"/>
      <c r="D50" s="366"/>
      <c r="E50" s="356"/>
      <c r="F50" s="367"/>
      <c r="G50" s="352"/>
      <c r="H50" s="353"/>
      <c r="I50" s="356"/>
      <c r="J50" s="360" t="s">
        <v>123</v>
      </c>
      <c r="K50" s="361"/>
      <c r="L50" s="361"/>
      <c r="M50" s="362"/>
    </row>
    <row r="51" spans="2:13" ht="16.5" customHeight="1">
      <c r="B51" s="354"/>
      <c r="C51" s="355"/>
      <c r="D51" s="366"/>
      <c r="E51" s="356"/>
      <c r="F51" s="367"/>
      <c r="G51" s="354"/>
      <c r="H51" s="355"/>
      <c r="I51" s="356"/>
      <c r="J51" s="363" t="s">
        <v>124</v>
      </c>
      <c r="K51" s="364"/>
      <c r="L51" s="364"/>
      <c r="M51" s="365"/>
    </row>
    <row r="54" spans="2:13" ht="13.5" customHeight="1">
      <c r="B54" s="112" t="s">
        <v>125</v>
      </c>
      <c r="C54" s="46"/>
      <c r="E54" s="46"/>
      <c r="G54" s="46"/>
      <c r="H54" s="46"/>
      <c r="I54" s="46"/>
      <c r="J54" s="46"/>
      <c r="K54" s="46"/>
    </row>
    <row r="60" spans="2:13">
      <c r="E60" s="13" t="s">
        <v>95</v>
      </c>
      <c r="F60" s="13"/>
      <c r="G60" s="13"/>
      <c r="H60" s="13"/>
      <c r="I60" s="13"/>
      <c r="J60" s="13"/>
    </row>
    <row r="62" spans="2:13" ht="30" customHeight="1"/>
  </sheetData>
  <sheetProtection selectLockedCells="1"/>
  <mergeCells count="18">
    <mergeCell ref="B49:C51"/>
    <mergeCell ref="G49:H51"/>
    <mergeCell ref="I49:I51"/>
    <mergeCell ref="J49:M49"/>
    <mergeCell ref="J50:M50"/>
    <mergeCell ref="J51:M51"/>
    <mergeCell ref="D49:F51"/>
    <mergeCell ref="B45:K46"/>
    <mergeCell ref="B23:K26"/>
    <mergeCell ref="B28:K30"/>
    <mergeCell ref="G35:K42"/>
    <mergeCell ref="J5:K5"/>
    <mergeCell ref="F33:K34"/>
    <mergeCell ref="A14:C15"/>
    <mergeCell ref="A16:C18"/>
    <mergeCell ref="A21:K22"/>
    <mergeCell ref="A33:C34"/>
    <mergeCell ref="A35:C37"/>
  </mergeCells>
  <phoneticPr fontId="1"/>
  <pageMargins left="0.90551181102362199" right="0.51181102362204722" top="0.15748031496062992" bottom="0.15748031496062992" header="0" footer="0"/>
  <pageSetup paperSize="9" orientation="portrait" horizontalDpi="429496729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8">
    <tabColor rgb="FF00B050"/>
  </sheetPr>
  <dimension ref="A1:N62"/>
  <sheetViews>
    <sheetView topLeftCell="A13" zoomScale="89" zoomScaleNormal="89" workbookViewId="0">
      <selection activeCell="A33" sqref="A33:C34"/>
    </sheetView>
  </sheetViews>
  <sheetFormatPr defaultRowHeight="13.5"/>
  <cols>
    <col min="1" max="1" width="2.75" customWidth="1"/>
    <col min="2" max="2" width="7" customWidth="1"/>
    <col min="4" max="4" width="2.75" customWidth="1"/>
    <col min="5" max="5" width="6.375" customWidth="1"/>
    <col min="6" max="6" width="2.75" customWidth="1"/>
    <col min="7" max="7" width="7" customWidth="1"/>
    <col min="9" max="9" width="9" customWidth="1"/>
    <col min="12" max="12" width="3.25" customWidth="1"/>
    <col min="15" max="15" width="9" customWidth="1"/>
    <col min="16" max="16" width="3.25" customWidth="1"/>
  </cols>
  <sheetData>
    <row r="1" spans="1:13" ht="30" customHeight="1"/>
    <row r="2" spans="1:13" ht="33" customHeight="1"/>
    <row r="3" spans="1:13" s="28" customFormat="1" ht="13.5" customHeight="1">
      <c r="A3" s="107" t="s">
        <v>20</v>
      </c>
      <c r="J3" s="108" t="s">
        <v>21</v>
      </c>
      <c r="M3" s="1" t="s">
        <v>107</v>
      </c>
    </row>
    <row r="4" spans="1:13" s="28" customFormat="1" ht="13.5" customHeight="1"/>
    <row r="5" spans="1:13" s="28" customFormat="1" ht="18.75" customHeight="1">
      <c r="G5" s="90"/>
      <c r="H5" s="88" t="s">
        <v>23</v>
      </c>
      <c r="I5" s="88"/>
      <c r="J5" s="293">
        <f>入力データ!C18</f>
        <v>0</v>
      </c>
      <c r="K5" s="293"/>
      <c r="L5" s="88"/>
      <c r="M5" s="89" t="s">
        <v>24</v>
      </c>
    </row>
    <row r="8" spans="1:13" s="13" customFormat="1" ht="13.5" customHeight="1">
      <c r="A8" s="107" t="s">
        <v>108</v>
      </c>
    </row>
    <row r="9" spans="1:13" s="13" customFormat="1" ht="13.5" customHeight="1">
      <c r="A9" s="107" t="s">
        <v>109</v>
      </c>
    </row>
    <row r="10" spans="1:13" s="13" customFormat="1" ht="13.5" customHeight="1"/>
    <row r="11" spans="1:13" s="13" customFormat="1" ht="13.5" customHeight="1">
      <c r="A11" s="110" t="s">
        <v>110</v>
      </c>
    </row>
    <row r="14" spans="1:13" ht="13.5" customHeight="1">
      <c r="A14" s="322" t="s">
        <v>111</v>
      </c>
      <c r="B14" s="322"/>
      <c r="C14" s="322"/>
      <c r="E14" s="107" t="s">
        <v>112</v>
      </c>
    </row>
    <row r="15" spans="1:13" ht="13.5" customHeight="1">
      <c r="A15" s="322"/>
      <c r="B15" s="322"/>
      <c r="C15" s="322"/>
      <c r="E15" s="107" t="s">
        <v>113</v>
      </c>
    </row>
    <row r="16" spans="1:13" ht="13.5" customHeight="1">
      <c r="A16" s="332">
        <v>11</v>
      </c>
      <c r="B16" s="333"/>
      <c r="C16" s="334"/>
    </row>
    <row r="17" spans="1:14" ht="13.5" customHeight="1">
      <c r="A17" s="335"/>
      <c r="B17" s="336"/>
      <c r="C17" s="337"/>
      <c r="E17" s="110" t="s">
        <v>114</v>
      </c>
    </row>
    <row r="18" spans="1:14" ht="13.5" customHeight="1">
      <c r="A18" s="338"/>
      <c r="B18" s="339"/>
      <c r="C18" s="340"/>
      <c r="E18" s="110" t="s">
        <v>115</v>
      </c>
    </row>
    <row r="21" spans="1:14" ht="13.5" customHeight="1">
      <c r="A21" s="331" t="s">
        <v>116</v>
      </c>
      <c r="B21" s="331"/>
      <c r="C21" s="331"/>
      <c r="D21" s="331"/>
      <c r="E21" s="331"/>
      <c r="F21" s="331"/>
      <c r="G21" s="331"/>
      <c r="H21" s="331"/>
      <c r="I21" s="331"/>
      <c r="J21" s="331"/>
      <c r="K21" s="331"/>
      <c r="L21" s="179"/>
    </row>
    <row r="22" spans="1:14" ht="13.5" customHeight="1">
      <c r="A22" s="331"/>
      <c r="B22" s="331"/>
      <c r="C22" s="331"/>
      <c r="D22" s="331"/>
      <c r="E22" s="331"/>
      <c r="F22" s="331"/>
      <c r="G22" s="331"/>
      <c r="H22" s="331"/>
      <c r="I22" s="331"/>
      <c r="J22" s="331"/>
      <c r="K22" s="331"/>
      <c r="L22" s="179"/>
    </row>
    <row r="23" spans="1:14" ht="13.5" customHeight="1">
      <c r="A23" s="26"/>
      <c r="B23" s="327" t="str">
        <f>LOOKUP(A16,天命数!A3:A12,天命数!B3:B12)</f>
        <v>鋭い感受性を活かし、
直観・サイキック・テレパシーで受動したメッセージを表現することで
「人々の精神性を目覚めさせる使命」</v>
      </c>
      <c r="C23" s="327"/>
      <c r="D23" s="327"/>
      <c r="E23" s="327"/>
      <c r="F23" s="327"/>
      <c r="G23" s="327"/>
      <c r="H23" s="327"/>
      <c r="I23" s="327"/>
      <c r="J23" s="327"/>
      <c r="K23" s="327"/>
      <c r="L23" s="3"/>
      <c r="M23" s="77"/>
      <c r="N23" s="77"/>
    </row>
    <row r="24" spans="1:14" ht="13.5" customHeight="1">
      <c r="A24" s="27"/>
      <c r="B24" s="328"/>
      <c r="C24" s="328"/>
      <c r="D24" s="328"/>
      <c r="E24" s="328"/>
      <c r="F24" s="328"/>
      <c r="G24" s="328"/>
      <c r="H24" s="328"/>
      <c r="I24" s="328"/>
      <c r="J24" s="328"/>
      <c r="K24" s="328"/>
      <c r="L24" s="10"/>
      <c r="M24" s="77"/>
      <c r="N24" s="77"/>
    </row>
    <row r="25" spans="1:14" ht="13.5" customHeight="1">
      <c r="A25" s="27"/>
      <c r="B25" s="328"/>
      <c r="C25" s="328"/>
      <c r="D25" s="328"/>
      <c r="E25" s="328"/>
      <c r="F25" s="328"/>
      <c r="G25" s="328"/>
      <c r="H25" s="328"/>
      <c r="I25" s="328"/>
      <c r="J25" s="328"/>
      <c r="K25" s="328"/>
      <c r="L25" s="10"/>
      <c r="M25" s="77"/>
      <c r="N25" s="77"/>
    </row>
    <row r="26" spans="1:14" ht="13.5" customHeight="1">
      <c r="A26" s="27"/>
      <c r="B26" s="328"/>
      <c r="C26" s="328"/>
      <c r="D26" s="328"/>
      <c r="E26" s="328"/>
      <c r="F26" s="328"/>
      <c r="G26" s="328"/>
      <c r="H26" s="328"/>
      <c r="I26" s="328"/>
      <c r="J26" s="328"/>
      <c r="K26" s="328"/>
      <c r="L26" s="10"/>
      <c r="M26" s="77"/>
      <c r="N26" s="77"/>
    </row>
    <row r="27" spans="1:14" ht="9" customHeight="1">
      <c r="A27" s="27"/>
      <c r="L27" s="10"/>
    </row>
    <row r="28" spans="1:14" ht="13.5" customHeight="1">
      <c r="A28" s="27"/>
      <c r="B28" s="329" t="str">
        <f>LOOKUP(A16,天命数!A3:A12,天命数!C3:C12)</f>
        <v>目覚めたスピリチャルの感性を現実に統合させ
人がよりよく生きていくための在りかたを、自ら実践することで真のリーダーとなる役割。</v>
      </c>
      <c r="C28" s="329"/>
      <c r="D28" s="329"/>
      <c r="E28" s="329"/>
      <c r="F28" s="329"/>
      <c r="G28" s="329"/>
      <c r="H28" s="329"/>
      <c r="I28" s="329"/>
      <c r="J28" s="329"/>
      <c r="K28" s="329"/>
      <c r="L28" s="10"/>
      <c r="M28" s="78"/>
      <c r="N28" s="78"/>
    </row>
    <row r="29" spans="1:14">
      <c r="A29" s="27"/>
      <c r="B29" s="329"/>
      <c r="C29" s="329"/>
      <c r="D29" s="329"/>
      <c r="E29" s="329"/>
      <c r="F29" s="329"/>
      <c r="G29" s="329"/>
      <c r="H29" s="329"/>
      <c r="I29" s="329"/>
      <c r="J29" s="329"/>
      <c r="K29" s="329"/>
      <c r="L29" s="10"/>
      <c r="M29" s="78"/>
      <c r="N29" s="78"/>
    </row>
    <row r="30" spans="1:14">
      <c r="A30" s="4"/>
      <c r="B30" s="330"/>
      <c r="C30" s="330"/>
      <c r="D30" s="330"/>
      <c r="E30" s="330"/>
      <c r="F30" s="330"/>
      <c r="G30" s="330"/>
      <c r="H30" s="330"/>
      <c r="I30" s="330"/>
      <c r="J30" s="330"/>
      <c r="K30" s="330"/>
      <c r="L30" s="6"/>
      <c r="M30" s="78"/>
      <c r="N30" s="78"/>
    </row>
    <row r="33" spans="1:12" ht="13.5" customHeight="1">
      <c r="A33" s="322" t="s">
        <v>8</v>
      </c>
      <c r="B33" s="322"/>
      <c r="C33" s="322"/>
      <c r="F33" s="331" t="s">
        <v>117</v>
      </c>
      <c r="G33" s="331"/>
      <c r="H33" s="331"/>
      <c r="I33" s="331"/>
      <c r="J33" s="331"/>
      <c r="K33" s="331"/>
      <c r="L33" s="179"/>
    </row>
    <row r="34" spans="1:12" ht="13.5" customHeight="1">
      <c r="A34" s="322"/>
      <c r="B34" s="322"/>
      <c r="C34" s="322"/>
      <c r="F34" s="331"/>
      <c r="G34" s="331"/>
      <c r="H34" s="331"/>
      <c r="I34" s="331"/>
      <c r="J34" s="331"/>
      <c r="K34" s="331"/>
      <c r="L34" s="179"/>
    </row>
    <row r="35" spans="1:12" ht="13.5" customHeight="1">
      <c r="A35" s="341" t="str">
        <f>入力データ!S19</f>
        <v/>
      </c>
      <c r="B35" s="342"/>
      <c r="C35" s="343"/>
      <c r="F35" s="26"/>
      <c r="G35" s="320" t="e">
        <f>LOOKUP(A35,天命数!A3:A12,天命数!D3:D12)</f>
        <v>#N/A</v>
      </c>
      <c r="H35" s="320"/>
      <c r="I35" s="320"/>
      <c r="J35" s="320"/>
      <c r="K35" s="320"/>
      <c r="L35" s="3"/>
    </row>
    <row r="36" spans="1:12" ht="13.5" customHeight="1">
      <c r="A36" s="344"/>
      <c r="B36" s="345"/>
      <c r="C36" s="346"/>
      <c r="F36" s="27"/>
      <c r="G36" s="230"/>
      <c r="H36" s="230"/>
      <c r="I36" s="230"/>
      <c r="J36" s="230"/>
      <c r="K36" s="230"/>
      <c r="L36" s="10"/>
    </row>
    <row r="37" spans="1:12" ht="13.5" customHeight="1">
      <c r="A37" s="347"/>
      <c r="B37" s="348"/>
      <c r="C37" s="349"/>
      <c r="F37" s="27"/>
      <c r="G37" s="230"/>
      <c r="H37" s="230"/>
      <c r="I37" s="230"/>
      <c r="J37" s="230"/>
      <c r="K37" s="230"/>
      <c r="L37" s="10"/>
    </row>
    <row r="38" spans="1:12">
      <c r="F38" s="27"/>
      <c r="G38" s="230"/>
      <c r="H38" s="230"/>
      <c r="I38" s="230"/>
      <c r="J38" s="230"/>
      <c r="K38" s="230"/>
      <c r="L38" s="10"/>
    </row>
    <row r="39" spans="1:12">
      <c r="F39" s="27"/>
      <c r="G39" s="230"/>
      <c r="H39" s="230"/>
      <c r="I39" s="230"/>
      <c r="J39" s="230"/>
      <c r="K39" s="230"/>
      <c r="L39" s="10"/>
    </row>
    <row r="40" spans="1:12">
      <c r="F40" s="27"/>
      <c r="G40" s="230"/>
      <c r="H40" s="230"/>
      <c r="I40" s="230"/>
      <c r="J40" s="230"/>
      <c r="K40" s="230"/>
      <c r="L40" s="10"/>
    </row>
    <row r="41" spans="1:12">
      <c r="F41" s="27"/>
      <c r="G41" s="230"/>
      <c r="H41" s="230"/>
      <c r="I41" s="230"/>
      <c r="J41" s="230"/>
      <c r="K41" s="230"/>
      <c r="L41" s="10"/>
    </row>
    <row r="42" spans="1:12">
      <c r="F42" s="4"/>
      <c r="G42" s="321"/>
      <c r="H42" s="321"/>
      <c r="I42" s="321"/>
      <c r="J42" s="321"/>
      <c r="K42" s="321"/>
      <c r="L42" s="6"/>
    </row>
    <row r="43" spans="1:12" ht="13.5" customHeight="1">
      <c r="B43" s="46"/>
      <c r="C43" s="46"/>
      <c r="E43" s="46"/>
      <c r="G43" s="46"/>
      <c r="H43" s="46"/>
      <c r="I43" s="46"/>
      <c r="J43" s="46"/>
      <c r="K43" s="46"/>
    </row>
    <row r="45" spans="1:12" ht="13.5" customHeight="1">
      <c r="A45" s="176"/>
      <c r="B45" s="325" t="s">
        <v>118</v>
      </c>
      <c r="C45" s="325"/>
      <c r="D45" s="325"/>
      <c r="E45" s="325"/>
      <c r="F45" s="325"/>
      <c r="G45" s="325"/>
      <c r="H45" s="325"/>
      <c r="I45" s="325"/>
      <c r="J45" s="325"/>
      <c r="K45" s="325"/>
      <c r="L45" s="176"/>
    </row>
    <row r="46" spans="1:12" ht="13.5" customHeight="1">
      <c r="A46" s="178"/>
      <c r="B46" s="325"/>
      <c r="C46" s="325"/>
      <c r="D46" s="325"/>
      <c r="E46" s="325"/>
      <c r="F46" s="325"/>
      <c r="G46" s="325"/>
      <c r="H46" s="325"/>
      <c r="I46" s="325"/>
      <c r="J46" s="325"/>
      <c r="K46" s="325"/>
      <c r="L46" s="176"/>
    </row>
    <row r="49" spans="2:13" ht="14.25" customHeight="1">
      <c r="B49" s="350" t="s">
        <v>111</v>
      </c>
      <c r="C49" s="351"/>
      <c r="D49" s="366" t="s">
        <v>119</v>
      </c>
      <c r="E49" s="356"/>
      <c r="F49" s="367"/>
      <c r="G49" s="350" t="s">
        <v>120</v>
      </c>
      <c r="H49" s="351"/>
      <c r="I49" s="356" t="s">
        <v>121</v>
      </c>
      <c r="J49" s="368" t="s">
        <v>122</v>
      </c>
      <c r="K49" s="369"/>
      <c r="L49" s="369"/>
      <c r="M49" s="370"/>
    </row>
    <row r="50" spans="2:13" ht="16.5" customHeight="1">
      <c r="B50" s="352"/>
      <c r="C50" s="353"/>
      <c r="D50" s="366"/>
      <c r="E50" s="356"/>
      <c r="F50" s="367"/>
      <c r="G50" s="352"/>
      <c r="H50" s="353"/>
      <c r="I50" s="356"/>
      <c r="J50" s="360" t="s">
        <v>123</v>
      </c>
      <c r="K50" s="361"/>
      <c r="L50" s="361"/>
      <c r="M50" s="362"/>
    </row>
    <row r="51" spans="2:13" ht="16.5" customHeight="1">
      <c r="B51" s="354"/>
      <c r="C51" s="355"/>
      <c r="D51" s="366"/>
      <c r="E51" s="356"/>
      <c r="F51" s="367"/>
      <c r="G51" s="354"/>
      <c r="H51" s="355"/>
      <c r="I51" s="356"/>
      <c r="J51" s="363" t="s">
        <v>124</v>
      </c>
      <c r="K51" s="364"/>
      <c r="L51" s="364"/>
      <c r="M51" s="365"/>
    </row>
    <row r="54" spans="2:13" ht="13.5" customHeight="1">
      <c r="B54" s="112" t="s">
        <v>125</v>
      </c>
      <c r="C54" s="46"/>
      <c r="E54" s="46"/>
      <c r="G54" s="46"/>
      <c r="H54" s="46"/>
      <c r="I54" s="46"/>
      <c r="J54" s="46"/>
      <c r="K54" s="46"/>
    </row>
    <row r="60" spans="2:13">
      <c r="E60" s="13" t="s">
        <v>105</v>
      </c>
      <c r="F60" s="13"/>
      <c r="G60" s="13"/>
      <c r="H60" s="13"/>
      <c r="I60" s="13"/>
      <c r="J60" s="13"/>
    </row>
    <row r="62" spans="2:13" ht="30" customHeight="1"/>
  </sheetData>
  <sheetProtection selectLockedCells="1"/>
  <mergeCells count="18">
    <mergeCell ref="J50:M50"/>
    <mergeCell ref="J51:M51"/>
    <mergeCell ref="A33:C34"/>
    <mergeCell ref="F33:K34"/>
    <mergeCell ref="A35:C37"/>
    <mergeCell ref="G35:K42"/>
    <mergeCell ref="B45:K46"/>
    <mergeCell ref="B49:C51"/>
    <mergeCell ref="D49:F51"/>
    <mergeCell ref="G49:H51"/>
    <mergeCell ref="I49:I51"/>
    <mergeCell ref="J49:M49"/>
    <mergeCell ref="B28:K30"/>
    <mergeCell ref="J5:K5"/>
    <mergeCell ref="A14:C15"/>
    <mergeCell ref="A16:C18"/>
    <mergeCell ref="A21:K22"/>
    <mergeCell ref="B23:K26"/>
  </mergeCells>
  <phoneticPr fontId="1"/>
  <pageMargins left="0.90551181102362199" right="0.51181102362204722" top="0.15748031496062992" bottom="0.15748031496062992" header="0" footer="0"/>
  <pageSetup paperSize="9" orientation="portrait" horizontalDpi="4294967293"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rgb="FFFEC2F5"/>
  </sheetPr>
  <dimension ref="A1:Y59"/>
  <sheetViews>
    <sheetView topLeftCell="A21" zoomScale="90" zoomScaleNormal="90" workbookViewId="0">
      <selection activeCell="B37" sqref="B37"/>
    </sheetView>
  </sheetViews>
  <sheetFormatPr defaultRowHeight="13.5"/>
  <cols>
    <col min="1" max="1" width="2.75" customWidth="1"/>
    <col min="2" max="2" width="7" customWidth="1"/>
    <col min="5" max="8" width="2.25" customWidth="1"/>
    <col min="10" max="10" width="4.375" customWidth="1"/>
    <col min="11" max="12" width="2.25" customWidth="1"/>
    <col min="14" max="14" width="4.375" customWidth="1"/>
    <col min="15" max="16" width="2.25" customWidth="1"/>
    <col min="17" max="17" width="6.375" customWidth="1"/>
    <col min="18" max="18" width="2.25" customWidth="1"/>
    <col min="22" max="22" width="2.75" customWidth="1"/>
  </cols>
  <sheetData>
    <row r="1" spans="1:21" ht="30" customHeight="1"/>
    <row r="2" spans="1:21" ht="33" customHeight="1"/>
    <row r="3" spans="1:21" s="28" customFormat="1">
      <c r="A3" s="107" t="s">
        <v>20</v>
      </c>
      <c r="M3" s="108" t="s">
        <v>21</v>
      </c>
      <c r="Q3" s="1" t="s">
        <v>126</v>
      </c>
    </row>
    <row r="4" spans="1:21" s="28" customFormat="1" ht="12"/>
    <row r="5" spans="1:21" s="28" customFormat="1" ht="18.75" customHeight="1">
      <c r="H5" s="90"/>
      <c r="I5" s="88" t="s">
        <v>23</v>
      </c>
      <c r="J5" s="88"/>
      <c r="K5" s="88"/>
      <c r="L5" s="88"/>
      <c r="M5" s="293">
        <f>入力データ!C18</f>
        <v>0</v>
      </c>
      <c r="N5" s="293"/>
      <c r="O5" s="293"/>
      <c r="P5" s="293"/>
      <c r="Q5" s="88" t="s">
        <v>24</v>
      </c>
      <c r="R5" s="89"/>
    </row>
    <row r="6" spans="1:21" s="28" customFormat="1" ht="12"/>
    <row r="8" spans="1:21" ht="13.5" customHeight="1">
      <c r="A8" s="295" t="s">
        <v>127</v>
      </c>
      <c r="B8" s="295"/>
      <c r="C8" s="295"/>
      <c r="D8" s="295"/>
      <c r="E8" s="295"/>
      <c r="F8" s="295"/>
      <c r="G8" s="295"/>
      <c r="H8" s="295"/>
      <c r="I8" s="295"/>
      <c r="J8" s="295"/>
      <c r="K8" s="295"/>
      <c r="L8" s="295"/>
      <c r="M8" s="295"/>
    </row>
    <row r="9" spans="1:21" ht="13.5" customHeight="1">
      <c r="A9" s="295"/>
      <c r="B9" s="295"/>
      <c r="C9" s="295"/>
      <c r="D9" s="295"/>
      <c r="E9" s="295"/>
      <c r="F9" s="295"/>
      <c r="G9" s="295"/>
      <c r="H9" s="295"/>
      <c r="I9" s="295"/>
      <c r="J9" s="295"/>
      <c r="K9" s="295"/>
      <c r="L9" s="295"/>
      <c r="M9" s="295"/>
    </row>
    <row r="11" spans="1:21" s="28" customFormat="1" ht="13.5" customHeight="1">
      <c r="A11" s="107" t="s">
        <v>128</v>
      </c>
      <c r="B11" s="13"/>
      <c r="C11" s="13"/>
      <c r="D11" s="13"/>
      <c r="E11" s="13"/>
      <c r="F11" s="13"/>
      <c r="G11" s="13"/>
      <c r="H11" s="13"/>
      <c r="I11" s="13"/>
      <c r="J11" s="13"/>
      <c r="K11" s="13"/>
      <c r="L11" s="13"/>
      <c r="M11" s="13"/>
      <c r="N11" s="13"/>
      <c r="O11" s="13"/>
      <c r="P11" s="13"/>
      <c r="Q11" s="13"/>
      <c r="R11" s="13"/>
    </row>
    <row r="12" spans="1:21" s="28" customFormat="1" ht="13.5" customHeight="1">
      <c r="A12" s="401" t="s">
        <v>129</v>
      </c>
      <c r="B12" s="401"/>
      <c r="C12" s="401"/>
      <c r="D12" s="401"/>
      <c r="E12" s="401"/>
      <c r="F12" s="401"/>
      <c r="G12" s="401"/>
      <c r="H12" s="401"/>
      <c r="I12" s="401"/>
      <c r="J12" s="401"/>
      <c r="K12" s="401"/>
      <c r="L12" s="401"/>
      <c r="M12" s="401"/>
      <c r="N12" s="401"/>
      <c r="O12" s="401"/>
      <c r="P12" s="401"/>
      <c r="Q12" s="401"/>
      <c r="R12" s="104"/>
      <c r="U12" s="107"/>
    </row>
    <row r="13" spans="1:21" ht="13.5" customHeight="1"/>
    <row r="14" spans="1:21" s="28" customFormat="1" ht="13.5" customHeight="1">
      <c r="A14" s="402" t="s">
        <v>130</v>
      </c>
      <c r="B14" s="403"/>
      <c r="C14" s="404"/>
      <c r="D14" s="86"/>
      <c r="E14" s="88">
        <f>入力データ!C23</f>
        <v>0</v>
      </c>
      <c r="F14" s="88">
        <f>入力データ!D23</f>
        <v>0</v>
      </c>
      <c r="G14" s="88">
        <f>入力データ!E23</f>
        <v>0</v>
      </c>
      <c r="H14" s="88">
        <f>入力データ!F23</f>
        <v>0</v>
      </c>
      <c r="I14" s="88" t="s">
        <v>26</v>
      </c>
      <c r="J14" s="88"/>
      <c r="K14" s="88">
        <f>入力データ!H23</f>
        <v>0</v>
      </c>
      <c r="L14" s="88">
        <f>入力データ!I23</f>
        <v>0</v>
      </c>
      <c r="M14" s="88" t="s">
        <v>27</v>
      </c>
      <c r="N14" s="88"/>
      <c r="O14" s="88">
        <f>入力データ!K23</f>
        <v>0</v>
      </c>
      <c r="P14" s="88">
        <f>入力データ!L23</f>
        <v>0</v>
      </c>
      <c r="Q14" s="88" t="s">
        <v>28</v>
      </c>
      <c r="R14" s="89"/>
    </row>
    <row r="15" spans="1:21" s="28" customFormat="1" ht="13.5" customHeight="1">
      <c r="A15" s="266" t="s">
        <v>131</v>
      </c>
      <c r="B15" s="267"/>
      <c r="C15" s="405"/>
      <c r="D15" s="86"/>
      <c r="E15" s="88">
        <f>入力データ!C28</f>
        <v>0</v>
      </c>
      <c r="F15" s="88">
        <f>入力データ!D28</f>
        <v>0</v>
      </c>
      <c r="G15" s="88">
        <f>入力データ!E28</f>
        <v>0</v>
      </c>
      <c r="H15" s="88">
        <f>入力データ!F28</f>
        <v>0</v>
      </c>
      <c r="I15" s="88" t="s">
        <v>26</v>
      </c>
      <c r="J15" s="88"/>
      <c r="K15" s="88">
        <f>入力データ!H28</f>
        <v>0</v>
      </c>
      <c r="L15" s="88">
        <f>入力データ!I28</f>
        <v>0</v>
      </c>
      <c r="M15" s="88" t="s">
        <v>27</v>
      </c>
      <c r="N15" s="88"/>
      <c r="O15" s="88">
        <f>入力データ!K28</f>
        <v>0</v>
      </c>
      <c r="P15" s="88">
        <f>入力データ!L28</f>
        <v>0</v>
      </c>
      <c r="Q15" s="88" t="s">
        <v>28</v>
      </c>
      <c r="R15" s="89"/>
    </row>
    <row r="16" spans="1:21" ht="13.5" customHeight="1">
      <c r="S16" s="151"/>
    </row>
    <row r="17" spans="1:25" ht="13.5" customHeight="1"/>
    <row r="18" spans="1:25" s="39" customFormat="1" ht="13.5" customHeight="1">
      <c r="A18" s="406" t="s">
        <v>132</v>
      </c>
      <c r="B18" s="406"/>
      <c r="C18" s="406"/>
      <c r="D18" s="223" t="s">
        <v>4</v>
      </c>
      <c r="E18" s="419" t="s">
        <v>38</v>
      </c>
      <c r="F18" s="420"/>
      <c r="G18" s="420"/>
      <c r="H18" s="421"/>
      <c r="I18" s="223" t="s">
        <v>6</v>
      </c>
      <c r="J18" s="419" t="s">
        <v>7</v>
      </c>
      <c r="K18" s="420"/>
      <c r="L18" s="421"/>
      <c r="M18" s="223" t="s">
        <v>8</v>
      </c>
    </row>
    <row r="19" spans="1:25" s="39" customFormat="1">
      <c r="A19" s="398" t="s">
        <v>133</v>
      </c>
      <c r="B19" s="398"/>
      <c r="C19" s="398"/>
      <c r="D19" s="416" t="str">
        <f>入力データ!O24</f>
        <v/>
      </c>
      <c r="E19" s="397" t="str">
        <f>入力データ!P24</f>
        <v/>
      </c>
      <c r="F19" s="397"/>
      <c r="G19" s="397"/>
      <c r="H19" s="397"/>
      <c r="I19" s="397" t="str">
        <f>入力データ!Q24</f>
        <v/>
      </c>
      <c r="J19" s="397" t="str">
        <f>入力データ!R24</f>
        <v/>
      </c>
      <c r="K19" s="397"/>
      <c r="L19" s="397"/>
      <c r="M19" s="397" t="str">
        <f>入力データ!S24</f>
        <v/>
      </c>
      <c r="R19" s="222"/>
      <c r="T19" s="39" t="s">
        <v>134</v>
      </c>
    </row>
    <row r="20" spans="1:25" s="39" customFormat="1">
      <c r="A20" s="398"/>
      <c r="B20" s="398"/>
      <c r="C20" s="398"/>
      <c r="D20" s="417"/>
      <c r="E20" s="397"/>
      <c r="F20" s="397"/>
      <c r="G20" s="397"/>
      <c r="H20" s="397"/>
      <c r="I20" s="397"/>
      <c r="J20" s="397"/>
      <c r="K20" s="397"/>
      <c r="L20" s="397"/>
      <c r="M20" s="397"/>
      <c r="T20" s="39" t="s">
        <v>135</v>
      </c>
    </row>
    <row r="21" spans="1:25" s="39" customFormat="1">
      <c r="A21" s="399" t="s">
        <v>136</v>
      </c>
      <c r="B21" s="399"/>
      <c r="C21" s="399"/>
      <c r="D21" s="416" t="str">
        <f>入力データ!O29</f>
        <v/>
      </c>
      <c r="E21" s="397" t="str">
        <f>入力データ!P29</f>
        <v/>
      </c>
      <c r="F21" s="397"/>
      <c r="G21" s="397"/>
      <c r="H21" s="397"/>
      <c r="I21" s="397" t="str">
        <f>入力データ!Q29</f>
        <v/>
      </c>
      <c r="J21" s="397" t="str">
        <f>入力データ!R29</f>
        <v/>
      </c>
      <c r="K21" s="397"/>
      <c r="L21" s="397"/>
      <c r="M21" s="397" t="str">
        <f>入力データ!S29</f>
        <v/>
      </c>
    </row>
    <row r="22" spans="1:25" s="39" customFormat="1">
      <c r="A22" s="399"/>
      <c r="B22" s="399"/>
      <c r="C22" s="399"/>
      <c r="D22" s="417"/>
      <c r="E22" s="397"/>
      <c r="F22" s="397"/>
      <c r="G22" s="397"/>
      <c r="H22" s="397"/>
      <c r="I22" s="397"/>
      <c r="J22" s="397"/>
      <c r="K22" s="397"/>
      <c r="L22" s="397"/>
      <c r="M22" s="397"/>
      <c r="T22" s="407"/>
      <c r="U22" s="408"/>
      <c r="V22" s="408"/>
      <c r="W22" s="408"/>
      <c r="X22" s="408"/>
      <c r="Y22" s="409"/>
    </row>
    <row r="23" spans="1:25" s="39" customFormat="1">
      <c r="A23" s="400" t="s">
        <v>137</v>
      </c>
      <c r="B23" s="400"/>
      <c r="C23" s="400"/>
      <c r="D23" s="416" t="str">
        <f>+入力データ!O19</f>
        <v/>
      </c>
      <c r="E23" s="397" t="str">
        <f>+入力データ!P19</f>
        <v/>
      </c>
      <c r="F23" s="397"/>
      <c r="G23" s="397"/>
      <c r="H23" s="397"/>
      <c r="I23" s="397" t="str">
        <f>+入力データ!Q19</f>
        <v/>
      </c>
      <c r="J23" s="397" t="str">
        <f>+入力データ!R19</f>
        <v/>
      </c>
      <c r="K23" s="397"/>
      <c r="L23" s="397"/>
      <c r="M23" s="397" t="str">
        <f>+入力データ!S19</f>
        <v/>
      </c>
      <c r="T23" s="410"/>
      <c r="U23" s="411"/>
      <c r="V23" s="411"/>
      <c r="W23" s="411"/>
      <c r="X23" s="411"/>
      <c r="Y23" s="412"/>
    </row>
    <row r="24" spans="1:25" s="39" customFormat="1">
      <c r="A24" s="400"/>
      <c r="B24" s="400"/>
      <c r="C24" s="400"/>
      <c r="D24" s="418"/>
      <c r="E24" s="397"/>
      <c r="F24" s="397"/>
      <c r="G24" s="397"/>
      <c r="H24" s="397"/>
      <c r="I24" s="397"/>
      <c r="J24" s="397"/>
      <c r="K24" s="397"/>
      <c r="L24" s="397"/>
      <c r="M24" s="397"/>
      <c r="T24" s="410"/>
      <c r="U24" s="411"/>
      <c r="V24" s="411"/>
      <c r="W24" s="411"/>
      <c r="X24" s="411"/>
      <c r="Y24" s="412"/>
    </row>
    <row r="25" spans="1:25" s="13" customFormat="1" ht="13.5" customHeight="1">
      <c r="A25" s="13" t="s">
        <v>138</v>
      </c>
      <c r="T25" s="410"/>
      <c r="U25" s="411"/>
      <c r="V25" s="411"/>
      <c r="W25" s="411"/>
      <c r="X25" s="411"/>
      <c r="Y25" s="412"/>
    </row>
    <row r="26" spans="1:25" s="13" customFormat="1" ht="13.5" customHeight="1">
      <c r="A26" s="13" t="s">
        <v>139</v>
      </c>
      <c r="T26" s="410"/>
      <c r="U26" s="411"/>
      <c r="V26" s="411"/>
      <c r="W26" s="411"/>
      <c r="X26" s="411"/>
      <c r="Y26" s="412"/>
    </row>
    <row r="27" spans="1:25" s="13" customFormat="1" ht="13.5" customHeight="1">
      <c r="A27" s="13" t="s">
        <v>140</v>
      </c>
      <c r="T27" s="413"/>
      <c r="U27" s="414"/>
      <c r="V27" s="414"/>
      <c r="W27" s="414"/>
      <c r="X27" s="414"/>
      <c r="Y27" s="415"/>
    </row>
    <row r="28" spans="1:25" ht="13.5" customHeight="1">
      <c r="T28" s="13"/>
      <c r="U28" s="13" t="s">
        <v>141</v>
      </c>
      <c r="V28" s="13"/>
      <c r="W28" s="13"/>
      <c r="X28" s="13"/>
      <c r="Y28" s="13"/>
    </row>
    <row r="29" spans="1:25" s="13" customFormat="1" ht="13.5" customHeight="1">
      <c r="A29" s="34"/>
      <c r="B29" s="152"/>
      <c r="C29" s="152"/>
      <c r="D29" s="152"/>
      <c r="E29" s="152"/>
      <c r="F29" s="152"/>
      <c r="G29" s="152"/>
      <c r="H29" s="152"/>
      <c r="I29" s="152"/>
      <c r="J29" s="152"/>
      <c r="K29" s="152"/>
      <c r="L29" s="152"/>
      <c r="M29" s="152"/>
      <c r="N29" s="152"/>
      <c r="O29" s="152"/>
      <c r="P29" s="152"/>
      <c r="Q29" s="152"/>
      <c r="R29" s="12"/>
      <c r="T29"/>
      <c r="U29"/>
      <c r="V29"/>
      <c r="W29"/>
      <c r="X29"/>
      <c r="Y29"/>
    </row>
    <row r="30" spans="1:25" s="13" customFormat="1" ht="13.5" customHeight="1">
      <c r="A30" s="91"/>
      <c r="B30" s="371" t="s">
        <v>142</v>
      </c>
      <c r="C30" s="372"/>
      <c r="D30" s="372"/>
      <c r="E30" s="372"/>
      <c r="F30" s="372"/>
      <c r="G30" s="372"/>
      <c r="H30" s="372"/>
      <c r="I30" s="372"/>
      <c r="J30" s="372"/>
      <c r="K30" s="372"/>
      <c r="L30" s="372"/>
      <c r="M30" s="372"/>
      <c r="N30" s="372"/>
      <c r="O30" s="372"/>
      <c r="P30" s="372"/>
      <c r="Q30" s="372"/>
      <c r="R30" s="14"/>
    </row>
    <row r="31" spans="1:25" s="13" customFormat="1" ht="13.5" customHeight="1">
      <c r="A31" s="91"/>
      <c r="B31" s="372"/>
      <c r="C31" s="372"/>
      <c r="D31" s="372"/>
      <c r="E31" s="372"/>
      <c r="F31" s="372"/>
      <c r="G31" s="372"/>
      <c r="H31" s="372"/>
      <c r="I31" s="372"/>
      <c r="J31" s="372"/>
      <c r="K31" s="372"/>
      <c r="L31" s="372"/>
      <c r="M31" s="372"/>
      <c r="N31" s="372"/>
      <c r="O31" s="372"/>
      <c r="P31" s="372"/>
      <c r="Q31" s="372"/>
      <c r="R31" s="14"/>
    </row>
    <row r="32" spans="1:25" s="13" customFormat="1" ht="13.5" customHeight="1">
      <c r="A32" s="91"/>
      <c r="B32" s="372"/>
      <c r="C32" s="372"/>
      <c r="D32" s="372"/>
      <c r="E32" s="372"/>
      <c r="F32" s="372"/>
      <c r="G32" s="372"/>
      <c r="H32" s="372"/>
      <c r="I32" s="372"/>
      <c r="J32" s="372"/>
      <c r="K32" s="372"/>
      <c r="L32" s="372"/>
      <c r="M32" s="372"/>
      <c r="N32" s="372"/>
      <c r="O32" s="372"/>
      <c r="P32" s="372"/>
      <c r="Q32" s="372"/>
      <c r="R32" s="14"/>
    </row>
    <row r="33" spans="1:25" s="13" customFormat="1" ht="13.5" customHeight="1">
      <c r="A33" s="91"/>
      <c r="B33" s="372"/>
      <c r="C33" s="372"/>
      <c r="D33" s="372"/>
      <c r="E33" s="372"/>
      <c r="F33" s="372"/>
      <c r="G33" s="372"/>
      <c r="H33" s="372"/>
      <c r="I33" s="372"/>
      <c r="J33" s="372"/>
      <c r="K33" s="372"/>
      <c r="L33" s="372"/>
      <c r="M33" s="372"/>
      <c r="N33" s="372"/>
      <c r="O33" s="372"/>
      <c r="P33" s="372"/>
      <c r="Q33" s="372"/>
      <c r="R33" s="14"/>
    </row>
    <row r="34" spans="1:25" s="13" customFormat="1" ht="13.5" customHeight="1">
      <c r="A34" s="91"/>
      <c r="B34" s="372"/>
      <c r="C34" s="372"/>
      <c r="D34" s="372"/>
      <c r="E34" s="372"/>
      <c r="F34" s="372"/>
      <c r="G34" s="372"/>
      <c r="H34" s="372"/>
      <c r="I34" s="372"/>
      <c r="J34" s="372"/>
      <c r="K34" s="372"/>
      <c r="L34" s="372"/>
      <c r="M34" s="372"/>
      <c r="N34" s="372"/>
      <c r="O34" s="372"/>
      <c r="P34" s="372"/>
      <c r="Q34" s="372"/>
      <c r="R34" s="14"/>
    </row>
    <row r="35" spans="1:25" s="13" customFormat="1" ht="13.5" customHeight="1">
      <c r="A35" s="91"/>
      <c r="B35" s="372"/>
      <c r="C35" s="372"/>
      <c r="D35" s="372"/>
      <c r="E35" s="372"/>
      <c r="F35" s="372"/>
      <c r="G35" s="372"/>
      <c r="H35" s="372"/>
      <c r="I35" s="372"/>
      <c r="J35" s="372"/>
      <c r="K35" s="372"/>
      <c r="L35" s="372"/>
      <c r="M35" s="372"/>
      <c r="N35" s="372"/>
      <c r="O35" s="372"/>
      <c r="P35" s="372"/>
      <c r="Q35" s="372"/>
      <c r="R35" s="14"/>
    </row>
    <row r="36" spans="1:25" s="13" customFormat="1" ht="13.5" customHeight="1">
      <c r="A36" s="91"/>
      <c r="B36" s="372"/>
      <c r="C36" s="372"/>
      <c r="D36" s="372"/>
      <c r="E36" s="372"/>
      <c r="F36" s="372"/>
      <c r="G36" s="372"/>
      <c r="H36" s="372"/>
      <c r="I36" s="372"/>
      <c r="J36" s="372"/>
      <c r="K36" s="372"/>
      <c r="L36" s="372"/>
      <c r="M36" s="372"/>
      <c r="N36" s="372"/>
      <c r="O36" s="372"/>
      <c r="P36" s="372"/>
      <c r="Q36" s="372"/>
      <c r="R36" s="14"/>
    </row>
    <row r="37" spans="1:25" s="13" customFormat="1" ht="13.5" customHeight="1">
      <c r="A37" s="35"/>
      <c r="B37" s="153"/>
      <c r="C37" s="153"/>
      <c r="D37" s="153"/>
      <c r="E37" s="153"/>
      <c r="F37" s="153"/>
      <c r="G37" s="153"/>
      <c r="H37" s="153"/>
      <c r="I37" s="153"/>
      <c r="J37" s="153"/>
      <c r="K37" s="153"/>
      <c r="L37" s="153"/>
      <c r="M37" s="153"/>
      <c r="N37" s="153"/>
      <c r="O37" s="153"/>
      <c r="P37" s="153"/>
      <c r="Q37" s="153"/>
      <c r="R37" s="16"/>
    </row>
    <row r="38" spans="1:25" ht="13.5" customHeight="1">
      <c r="T38" s="13"/>
      <c r="U38" s="13"/>
      <c r="V38" s="13"/>
      <c r="W38" s="13"/>
      <c r="X38" s="13"/>
      <c r="Y38" s="13"/>
    </row>
    <row r="39" spans="1:25" ht="13.5" customHeight="1"/>
    <row r="40" spans="1:25" ht="13.5" customHeight="1">
      <c r="A40" s="297" t="s">
        <v>143</v>
      </c>
      <c r="B40" s="297"/>
      <c r="C40" s="297"/>
      <c r="D40" s="297"/>
      <c r="E40" s="297"/>
      <c r="F40" s="297"/>
      <c r="G40" s="297"/>
      <c r="H40" s="297"/>
      <c r="I40" s="297"/>
      <c r="J40" s="297"/>
      <c r="K40" s="297"/>
      <c r="L40" s="297"/>
      <c r="M40" s="297"/>
    </row>
    <row r="41" spans="1:25" ht="13.5" customHeight="1">
      <c r="A41" s="297"/>
      <c r="B41" s="297"/>
      <c r="C41" s="297"/>
      <c r="D41" s="297"/>
      <c r="E41" s="297"/>
      <c r="F41" s="297"/>
      <c r="G41" s="297"/>
      <c r="H41" s="297"/>
      <c r="I41" s="297"/>
      <c r="J41" s="297"/>
      <c r="K41" s="297"/>
      <c r="L41" s="297"/>
      <c r="M41" s="297"/>
    </row>
    <row r="42" spans="1:25">
      <c r="A42" s="110" t="s">
        <v>144</v>
      </c>
    </row>
    <row r="43" spans="1:25">
      <c r="A43" s="110" t="s">
        <v>145</v>
      </c>
    </row>
    <row r="45" spans="1:25">
      <c r="A45" s="373" t="s">
        <v>38</v>
      </c>
      <c r="B45" s="374"/>
      <c r="C45" s="298" t="str">
        <f>入力データ!P19</f>
        <v/>
      </c>
      <c r="D45" s="2"/>
      <c r="E45" s="2"/>
      <c r="F45" s="2"/>
      <c r="G45" s="2"/>
      <c r="H45" s="2"/>
      <c r="I45" s="2"/>
      <c r="J45" s="2"/>
      <c r="K45" s="2"/>
      <c r="L45" s="2"/>
      <c r="M45" s="2"/>
      <c r="N45" s="2"/>
      <c r="O45" s="2"/>
      <c r="P45" s="2"/>
      <c r="Q45" s="2"/>
      <c r="R45" s="3"/>
    </row>
    <row r="46" spans="1:25">
      <c r="A46" s="375"/>
      <c r="B46" s="376"/>
      <c r="C46" s="301"/>
      <c r="R46" s="10"/>
    </row>
    <row r="47" spans="1:25" ht="13.5" customHeight="1">
      <c r="A47" s="377"/>
      <c r="B47" s="378"/>
      <c r="C47" s="301"/>
      <c r="R47" s="10"/>
    </row>
    <row r="48" spans="1:25" ht="13.5" customHeight="1">
      <c r="A48" s="379" t="s">
        <v>146</v>
      </c>
      <c r="B48" s="380"/>
      <c r="C48" s="391" t="e">
        <f>LOOKUP(C45,'潜在数　課題・傾向'!A3:A13,'潜在数　課題・傾向'!B3:B13)</f>
        <v>#N/A</v>
      </c>
      <c r="D48" s="392"/>
      <c r="E48" s="392"/>
      <c r="F48" s="392"/>
      <c r="G48" s="392"/>
      <c r="H48" s="392"/>
      <c r="I48" s="392"/>
      <c r="J48" s="392"/>
      <c r="K48" s="392"/>
      <c r="L48" s="392"/>
      <c r="M48" s="392"/>
      <c r="N48" s="392"/>
      <c r="O48" s="392"/>
      <c r="P48" s="392"/>
      <c r="Q48" s="392"/>
      <c r="R48" s="101"/>
    </row>
    <row r="49" spans="1:18" ht="13.5" customHeight="1">
      <c r="A49" s="381"/>
      <c r="B49" s="382"/>
      <c r="C49" s="393"/>
      <c r="D49" s="394"/>
      <c r="E49" s="394"/>
      <c r="F49" s="394"/>
      <c r="G49" s="394"/>
      <c r="H49" s="394"/>
      <c r="I49" s="394"/>
      <c r="J49" s="394"/>
      <c r="K49" s="394"/>
      <c r="L49" s="394"/>
      <c r="M49" s="394"/>
      <c r="N49" s="394"/>
      <c r="O49" s="394"/>
      <c r="P49" s="394"/>
      <c r="Q49" s="394"/>
      <c r="R49" s="102"/>
    </row>
    <row r="50" spans="1:18" ht="13.5" customHeight="1">
      <c r="A50" s="383"/>
      <c r="B50" s="384"/>
      <c r="C50" s="395"/>
      <c r="D50" s="396"/>
      <c r="E50" s="396"/>
      <c r="F50" s="396"/>
      <c r="G50" s="396"/>
      <c r="H50" s="396"/>
      <c r="I50" s="396"/>
      <c r="J50" s="396"/>
      <c r="K50" s="396"/>
      <c r="L50" s="396"/>
      <c r="M50" s="396"/>
      <c r="N50" s="396"/>
      <c r="O50" s="396"/>
      <c r="P50" s="396"/>
      <c r="Q50" s="396"/>
      <c r="R50" s="103"/>
    </row>
    <row r="51" spans="1:18" ht="13.5" customHeight="1">
      <c r="A51" s="385" t="s">
        <v>147</v>
      </c>
      <c r="B51" s="386"/>
      <c r="C51" s="391" t="e">
        <f>LOOKUP(C45,'潜在数　課題・傾向'!A3:A13,'潜在数　課題・傾向'!C3:C13)</f>
        <v>#N/A</v>
      </c>
      <c r="D51" s="392"/>
      <c r="E51" s="392"/>
      <c r="F51" s="392"/>
      <c r="G51" s="392"/>
      <c r="H51" s="392"/>
      <c r="I51" s="392"/>
      <c r="J51" s="392"/>
      <c r="K51" s="392"/>
      <c r="L51" s="392"/>
      <c r="M51" s="392"/>
      <c r="N51" s="392"/>
      <c r="O51" s="392"/>
      <c r="P51" s="392"/>
      <c r="Q51" s="392"/>
      <c r="R51" s="102"/>
    </row>
    <row r="52" spans="1:18" ht="13.5" customHeight="1">
      <c r="A52" s="387"/>
      <c r="B52" s="388"/>
      <c r="C52" s="393"/>
      <c r="D52" s="394"/>
      <c r="E52" s="394"/>
      <c r="F52" s="394"/>
      <c r="G52" s="394"/>
      <c r="H52" s="394"/>
      <c r="I52" s="394"/>
      <c r="J52" s="394"/>
      <c r="K52" s="394"/>
      <c r="L52" s="394"/>
      <c r="M52" s="394"/>
      <c r="N52" s="394"/>
      <c r="O52" s="394"/>
      <c r="P52" s="394"/>
      <c r="Q52" s="394"/>
      <c r="R52" s="102"/>
    </row>
    <row r="53" spans="1:18" ht="13.5" customHeight="1">
      <c r="A53" s="387"/>
      <c r="B53" s="388"/>
      <c r="C53" s="393"/>
      <c r="D53" s="394"/>
      <c r="E53" s="394"/>
      <c r="F53" s="394"/>
      <c r="G53" s="394"/>
      <c r="H53" s="394"/>
      <c r="I53" s="394"/>
      <c r="J53" s="394"/>
      <c r="K53" s="394"/>
      <c r="L53" s="394"/>
      <c r="M53" s="394"/>
      <c r="N53" s="394"/>
      <c r="O53" s="394"/>
      <c r="P53" s="394"/>
      <c r="Q53" s="394"/>
      <c r="R53" s="102"/>
    </row>
    <row r="54" spans="1:18" ht="13.5" customHeight="1">
      <c r="A54" s="387"/>
      <c r="B54" s="388"/>
      <c r="C54" s="393"/>
      <c r="D54" s="394"/>
      <c r="E54" s="394"/>
      <c r="F54" s="394"/>
      <c r="G54" s="394"/>
      <c r="H54" s="394"/>
      <c r="I54" s="394"/>
      <c r="J54" s="394"/>
      <c r="K54" s="394"/>
      <c r="L54" s="394"/>
      <c r="M54" s="394"/>
      <c r="N54" s="394"/>
      <c r="O54" s="394"/>
      <c r="P54" s="394"/>
      <c r="Q54" s="394"/>
      <c r="R54" s="102"/>
    </row>
    <row r="55" spans="1:18" ht="13.5" customHeight="1">
      <c r="A55" s="387"/>
      <c r="B55" s="388"/>
      <c r="C55" s="393"/>
      <c r="D55" s="394"/>
      <c r="E55" s="394"/>
      <c r="F55" s="394"/>
      <c r="G55" s="394"/>
      <c r="H55" s="394"/>
      <c r="I55" s="394"/>
      <c r="J55" s="394"/>
      <c r="K55" s="394"/>
      <c r="L55" s="394"/>
      <c r="M55" s="394"/>
      <c r="N55" s="394"/>
      <c r="O55" s="394"/>
      <c r="P55" s="394"/>
      <c r="Q55" s="394"/>
      <c r="R55" s="102"/>
    </row>
    <row r="56" spans="1:18" ht="13.5" customHeight="1">
      <c r="A56" s="389"/>
      <c r="B56" s="390"/>
      <c r="C56" s="395"/>
      <c r="D56" s="396"/>
      <c r="E56" s="396"/>
      <c r="F56" s="396"/>
      <c r="G56" s="396"/>
      <c r="H56" s="396"/>
      <c r="I56" s="396"/>
      <c r="J56" s="396"/>
      <c r="K56" s="396"/>
      <c r="L56" s="396"/>
      <c r="M56" s="396"/>
      <c r="N56" s="396"/>
      <c r="O56" s="396"/>
      <c r="P56" s="396"/>
      <c r="Q56" s="396"/>
      <c r="R56" s="103"/>
    </row>
    <row r="59" spans="1:18">
      <c r="D59" s="13" t="s">
        <v>95</v>
      </c>
      <c r="H59" s="13"/>
      <c r="I59" s="13"/>
      <c r="L59" s="13"/>
      <c r="M59" s="13"/>
    </row>
  </sheetData>
  <sheetProtection sheet="1" selectLockedCells="1"/>
  <mergeCells count="35">
    <mergeCell ref="T22:Y27"/>
    <mergeCell ref="A40:M41"/>
    <mergeCell ref="M5:P5"/>
    <mergeCell ref="M19:M20"/>
    <mergeCell ref="E19:H20"/>
    <mergeCell ref="J19:L20"/>
    <mergeCell ref="D21:D22"/>
    <mergeCell ref="E21:H22"/>
    <mergeCell ref="I21:I22"/>
    <mergeCell ref="J21:L22"/>
    <mergeCell ref="M21:M22"/>
    <mergeCell ref="D19:D20"/>
    <mergeCell ref="D23:D24"/>
    <mergeCell ref="E23:H24"/>
    <mergeCell ref="E18:H18"/>
    <mergeCell ref="J18:L18"/>
    <mergeCell ref="A12:Q12"/>
    <mergeCell ref="A14:C14"/>
    <mergeCell ref="A15:C15"/>
    <mergeCell ref="A8:M9"/>
    <mergeCell ref="A18:C18"/>
    <mergeCell ref="I19:I20"/>
    <mergeCell ref="I23:I24"/>
    <mergeCell ref="J23:L24"/>
    <mergeCell ref="M23:M24"/>
    <mergeCell ref="A19:C20"/>
    <mergeCell ref="A21:C22"/>
    <mergeCell ref="A23:C24"/>
    <mergeCell ref="B30:Q36"/>
    <mergeCell ref="C45:C47"/>
    <mergeCell ref="A45:B47"/>
    <mergeCell ref="A48:B50"/>
    <mergeCell ref="A51:B56"/>
    <mergeCell ref="C48:Q50"/>
    <mergeCell ref="C51:Q56"/>
  </mergeCells>
  <phoneticPr fontId="1"/>
  <pageMargins left="0.90551181102362199" right="0.51181102362204722" top="0.15748031496062992" bottom="0.15748031496062992" header="0" footer="0"/>
  <pageSetup paperSize="9" orientation="portrait" horizontalDpi="4294967293"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rgb="FFFEC2F5"/>
  </sheetPr>
  <dimension ref="A1:Y59"/>
  <sheetViews>
    <sheetView topLeftCell="C8" zoomScale="110" zoomScaleNormal="110" workbookViewId="0">
      <selection activeCell="T22" sqref="T22:Y27"/>
    </sheetView>
  </sheetViews>
  <sheetFormatPr defaultRowHeight="13.5"/>
  <cols>
    <col min="1" max="1" width="2.75" customWidth="1"/>
    <col min="2" max="2" width="7" customWidth="1"/>
    <col min="5" max="8" width="2.25" customWidth="1"/>
    <col min="10" max="10" width="4.375" customWidth="1"/>
    <col min="11" max="12" width="2.25" customWidth="1"/>
    <col min="14" max="14" width="4.375" customWidth="1"/>
    <col min="15" max="16" width="2.25" customWidth="1"/>
    <col min="17" max="17" width="6.375" customWidth="1"/>
    <col min="18" max="18" width="2.25" customWidth="1"/>
    <col min="22" max="22" width="2.75" customWidth="1"/>
  </cols>
  <sheetData>
    <row r="1" spans="1:21" ht="30" customHeight="1"/>
    <row r="2" spans="1:21" ht="33" customHeight="1"/>
    <row r="3" spans="1:21" s="28" customFormat="1">
      <c r="A3" s="107" t="s">
        <v>20</v>
      </c>
      <c r="M3" s="108" t="s">
        <v>21</v>
      </c>
      <c r="Q3" s="1" t="s">
        <v>126</v>
      </c>
    </row>
    <row r="4" spans="1:21" s="28" customFormat="1" ht="12"/>
    <row r="5" spans="1:21" s="28" customFormat="1" ht="18.75" customHeight="1">
      <c r="H5" s="90"/>
      <c r="I5" s="88" t="s">
        <v>23</v>
      </c>
      <c r="J5" s="88"/>
      <c r="K5" s="88"/>
      <c r="L5" s="88"/>
      <c r="M5" s="293">
        <f>入力データ!C18</f>
        <v>0</v>
      </c>
      <c r="N5" s="293"/>
      <c r="O5" s="293"/>
      <c r="P5" s="293"/>
      <c r="Q5" s="88" t="s">
        <v>24</v>
      </c>
      <c r="R5" s="89"/>
    </row>
    <row r="6" spans="1:21" s="28" customFormat="1" ht="12"/>
    <row r="8" spans="1:21" ht="13.5" customHeight="1">
      <c r="A8" s="295" t="s">
        <v>127</v>
      </c>
      <c r="B8" s="295"/>
      <c r="C8" s="295"/>
      <c r="D8" s="295"/>
      <c r="E8" s="295"/>
      <c r="F8" s="295"/>
      <c r="G8" s="295"/>
      <c r="H8" s="295"/>
      <c r="I8" s="295"/>
      <c r="J8" s="295"/>
      <c r="K8" s="295"/>
      <c r="L8" s="295"/>
      <c r="M8" s="295"/>
    </row>
    <row r="9" spans="1:21" ht="13.5" customHeight="1">
      <c r="A9" s="295"/>
      <c r="B9" s="295"/>
      <c r="C9" s="295"/>
      <c r="D9" s="295"/>
      <c r="E9" s="295"/>
      <c r="F9" s="295"/>
      <c r="G9" s="295"/>
      <c r="H9" s="295"/>
      <c r="I9" s="295"/>
      <c r="J9" s="295"/>
      <c r="K9" s="295"/>
      <c r="L9" s="295"/>
      <c r="M9" s="295"/>
    </row>
    <row r="11" spans="1:21" s="28" customFormat="1" ht="13.5" customHeight="1">
      <c r="A11" s="107" t="s">
        <v>128</v>
      </c>
      <c r="B11" s="13"/>
      <c r="C11" s="13"/>
      <c r="D11" s="13"/>
      <c r="E11" s="13"/>
      <c r="F11" s="13"/>
      <c r="G11" s="13"/>
      <c r="H11" s="13"/>
      <c r="I11" s="13"/>
      <c r="J11" s="13"/>
      <c r="K11" s="13"/>
      <c r="L11" s="13"/>
      <c r="M11" s="13"/>
      <c r="N11" s="13"/>
      <c r="O11" s="13"/>
      <c r="P11" s="13"/>
      <c r="Q11" s="13"/>
      <c r="R11" s="13"/>
    </row>
    <row r="12" spans="1:21" s="28" customFormat="1" ht="13.5" customHeight="1">
      <c r="A12" s="401" t="s">
        <v>129</v>
      </c>
      <c r="B12" s="401"/>
      <c r="C12" s="401"/>
      <c r="D12" s="401"/>
      <c r="E12" s="401"/>
      <c r="F12" s="401"/>
      <c r="G12" s="401"/>
      <c r="H12" s="401"/>
      <c r="I12" s="401"/>
      <c r="J12" s="401"/>
      <c r="K12" s="401"/>
      <c r="L12" s="401"/>
      <c r="M12" s="401"/>
      <c r="N12" s="401"/>
      <c r="O12" s="401"/>
      <c r="P12" s="401"/>
      <c r="Q12" s="401"/>
      <c r="R12" s="104"/>
      <c r="U12" s="107"/>
    </row>
    <row r="13" spans="1:21" ht="13.5" customHeight="1"/>
    <row r="14" spans="1:21" s="28" customFormat="1" ht="13.5" customHeight="1">
      <c r="A14" s="422" t="s">
        <v>148</v>
      </c>
      <c r="B14" s="423"/>
      <c r="C14" s="424"/>
      <c r="D14" s="86"/>
      <c r="E14" s="88">
        <f>入力データ!C23</f>
        <v>0</v>
      </c>
      <c r="F14" s="88">
        <f>入力データ!D23</f>
        <v>0</v>
      </c>
      <c r="G14" s="88">
        <f>入力データ!E23</f>
        <v>0</v>
      </c>
      <c r="H14" s="88">
        <f>入力データ!F23</f>
        <v>0</v>
      </c>
      <c r="I14" s="88" t="s">
        <v>26</v>
      </c>
      <c r="J14" s="88"/>
      <c r="K14" s="88">
        <f>入力データ!H23</f>
        <v>0</v>
      </c>
      <c r="L14" s="88">
        <f>入力データ!I23</f>
        <v>0</v>
      </c>
      <c r="M14" s="88" t="s">
        <v>27</v>
      </c>
      <c r="N14" s="88"/>
      <c r="O14" s="88">
        <f>入力データ!K23</f>
        <v>0</v>
      </c>
      <c r="P14" s="88">
        <f>入力データ!L23</f>
        <v>0</v>
      </c>
      <c r="Q14" s="88" t="s">
        <v>28</v>
      </c>
      <c r="R14" s="89"/>
    </row>
    <row r="15" spans="1:21" s="28" customFormat="1" ht="13.5" customHeight="1">
      <c r="A15" s="266" t="s">
        <v>149</v>
      </c>
      <c r="B15" s="267"/>
      <c r="C15" s="405"/>
      <c r="D15" s="86"/>
      <c r="E15" s="88">
        <f>入力データ!C28</f>
        <v>0</v>
      </c>
      <c r="F15" s="88">
        <f>入力データ!D28</f>
        <v>0</v>
      </c>
      <c r="G15" s="88">
        <f>入力データ!E28</f>
        <v>0</v>
      </c>
      <c r="H15" s="88">
        <f>入力データ!F28</f>
        <v>0</v>
      </c>
      <c r="I15" s="88" t="s">
        <v>26</v>
      </c>
      <c r="J15" s="88"/>
      <c r="K15" s="88">
        <f>入力データ!H28</f>
        <v>0</v>
      </c>
      <c r="L15" s="88">
        <f>入力データ!I28</f>
        <v>0</v>
      </c>
      <c r="M15" s="88" t="s">
        <v>27</v>
      </c>
      <c r="N15" s="88"/>
      <c r="O15" s="88">
        <f>入力データ!K28</f>
        <v>0</v>
      </c>
      <c r="P15" s="88">
        <f>入力データ!L28</f>
        <v>0</v>
      </c>
      <c r="Q15" s="88" t="s">
        <v>28</v>
      </c>
      <c r="R15" s="89"/>
    </row>
    <row r="16" spans="1:21" ht="13.5" customHeight="1">
      <c r="S16" s="151"/>
    </row>
    <row r="17" spans="1:25" ht="13.5" customHeight="1"/>
    <row r="18" spans="1:25" s="39" customFormat="1" ht="13.5" customHeight="1">
      <c r="A18" s="406" t="s">
        <v>132</v>
      </c>
      <c r="B18" s="406"/>
      <c r="C18" s="406"/>
      <c r="D18" s="223" t="s">
        <v>4</v>
      </c>
      <c r="E18" s="419" t="s">
        <v>38</v>
      </c>
      <c r="F18" s="420"/>
      <c r="G18" s="420"/>
      <c r="H18" s="421"/>
      <c r="I18" s="223" t="s">
        <v>6</v>
      </c>
      <c r="J18" s="419" t="s">
        <v>7</v>
      </c>
      <c r="K18" s="420"/>
      <c r="L18" s="421"/>
      <c r="M18" s="223" t="s">
        <v>8</v>
      </c>
    </row>
    <row r="19" spans="1:25" s="39" customFormat="1">
      <c r="A19" s="425" t="s">
        <v>133</v>
      </c>
      <c r="B19" s="425"/>
      <c r="C19" s="425"/>
      <c r="D19" s="416" t="str">
        <f>入力データ!O24</f>
        <v/>
      </c>
      <c r="E19" s="397" t="str">
        <f>入力データ!P24</f>
        <v/>
      </c>
      <c r="F19" s="397"/>
      <c r="G19" s="397"/>
      <c r="H19" s="397"/>
      <c r="I19" s="397" t="str">
        <f>入力データ!Q24</f>
        <v/>
      </c>
      <c r="J19" s="397" t="str">
        <f>入力データ!R24</f>
        <v/>
      </c>
      <c r="K19" s="397"/>
      <c r="L19" s="397"/>
      <c r="M19" s="397" t="str">
        <f>入力データ!S24</f>
        <v/>
      </c>
      <c r="R19" s="222"/>
      <c r="T19" s="39" t="s">
        <v>134</v>
      </c>
    </row>
    <row r="20" spans="1:25" s="39" customFormat="1">
      <c r="A20" s="425"/>
      <c r="B20" s="425"/>
      <c r="C20" s="425"/>
      <c r="D20" s="417"/>
      <c r="E20" s="397"/>
      <c r="F20" s="397"/>
      <c r="G20" s="397"/>
      <c r="H20" s="397"/>
      <c r="I20" s="397"/>
      <c r="J20" s="397"/>
      <c r="K20" s="397"/>
      <c r="L20" s="397"/>
      <c r="M20" s="397"/>
      <c r="T20" s="39" t="s">
        <v>135</v>
      </c>
    </row>
    <row r="21" spans="1:25" s="39" customFormat="1">
      <c r="A21" s="399" t="s">
        <v>136</v>
      </c>
      <c r="B21" s="399"/>
      <c r="C21" s="399"/>
      <c r="D21" s="416" t="str">
        <f>入力データ!O29</f>
        <v/>
      </c>
      <c r="E21" s="397" t="str">
        <f>入力データ!P29</f>
        <v/>
      </c>
      <c r="F21" s="397"/>
      <c r="G21" s="397"/>
      <c r="H21" s="397"/>
      <c r="I21" s="397" t="str">
        <f>入力データ!Q29</f>
        <v/>
      </c>
      <c r="J21" s="397" t="str">
        <f>入力データ!R29</f>
        <v/>
      </c>
      <c r="K21" s="397"/>
      <c r="L21" s="397"/>
      <c r="M21" s="397" t="str">
        <f>入力データ!S29</f>
        <v/>
      </c>
    </row>
    <row r="22" spans="1:25" s="39" customFormat="1">
      <c r="A22" s="399"/>
      <c r="B22" s="399"/>
      <c r="C22" s="399"/>
      <c r="D22" s="417"/>
      <c r="E22" s="397"/>
      <c r="F22" s="397"/>
      <c r="G22" s="397"/>
      <c r="H22" s="397"/>
      <c r="I22" s="397"/>
      <c r="J22" s="397"/>
      <c r="K22" s="397"/>
      <c r="L22" s="397"/>
      <c r="M22" s="397"/>
      <c r="T22" s="407"/>
      <c r="U22" s="408"/>
      <c r="V22" s="408"/>
      <c r="W22" s="408"/>
      <c r="X22" s="408"/>
      <c r="Y22" s="409"/>
    </row>
    <row r="23" spans="1:25" s="39" customFormat="1">
      <c r="A23" s="400" t="s">
        <v>137</v>
      </c>
      <c r="B23" s="400"/>
      <c r="C23" s="400"/>
      <c r="D23" s="416" t="str">
        <f>入力データ!O19</f>
        <v/>
      </c>
      <c r="E23" s="397" t="str">
        <f>入力データ!P19</f>
        <v/>
      </c>
      <c r="F23" s="397"/>
      <c r="G23" s="397"/>
      <c r="H23" s="397"/>
      <c r="I23" s="397" t="str">
        <f>入力データ!Q19</f>
        <v/>
      </c>
      <c r="J23" s="397" t="str">
        <f>入力データ!R19</f>
        <v/>
      </c>
      <c r="K23" s="397"/>
      <c r="L23" s="397"/>
      <c r="M23" s="397" t="str">
        <f>入力データ!S19</f>
        <v/>
      </c>
      <c r="T23" s="410"/>
      <c r="U23" s="411"/>
      <c r="V23" s="411"/>
      <c r="W23" s="411"/>
      <c r="X23" s="411"/>
      <c r="Y23" s="412"/>
    </row>
    <row r="24" spans="1:25" s="39" customFormat="1">
      <c r="A24" s="400"/>
      <c r="B24" s="400"/>
      <c r="C24" s="400"/>
      <c r="D24" s="418"/>
      <c r="E24" s="397"/>
      <c r="F24" s="397"/>
      <c r="G24" s="397"/>
      <c r="H24" s="397"/>
      <c r="I24" s="397"/>
      <c r="J24" s="397"/>
      <c r="K24" s="397"/>
      <c r="L24" s="397"/>
      <c r="M24" s="397"/>
      <c r="T24" s="410"/>
      <c r="U24" s="411"/>
      <c r="V24" s="411"/>
      <c r="W24" s="411"/>
      <c r="X24" s="411"/>
      <c r="Y24" s="412"/>
    </row>
    <row r="25" spans="1:25" s="13" customFormat="1" ht="13.5" customHeight="1">
      <c r="A25" s="13" t="s">
        <v>138</v>
      </c>
      <c r="T25" s="410"/>
      <c r="U25" s="411"/>
      <c r="V25" s="411"/>
      <c r="W25" s="411"/>
      <c r="X25" s="411"/>
      <c r="Y25" s="412"/>
    </row>
    <row r="26" spans="1:25" s="13" customFormat="1" ht="13.5" customHeight="1">
      <c r="A26" s="13" t="s">
        <v>139</v>
      </c>
      <c r="T26" s="410"/>
      <c r="U26" s="411"/>
      <c r="V26" s="411"/>
      <c r="W26" s="411"/>
      <c r="X26" s="411"/>
      <c r="Y26" s="412"/>
    </row>
    <row r="27" spans="1:25" s="13" customFormat="1" ht="13.5" customHeight="1">
      <c r="A27" s="13" t="s">
        <v>140</v>
      </c>
      <c r="T27" s="413"/>
      <c r="U27" s="414"/>
      <c r="V27" s="414"/>
      <c r="W27" s="414"/>
      <c r="X27" s="414"/>
      <c r="Y27" s="415"/>
    </row>
    <row r="28" spans="1:25" ht="13.5" customHeight="1">
      <c r="T28" s="13"/>
      <c r="U28" s="13" t="s">
        <v>141</v>
      </c>
      <c r="V28" s="13"/>
      <c r="W28" s="13"/>
      <c r="X28" s="13"/>
      <c r="Y28" s="13"/>
    </row>
    <row r="29" spans="1:25" s="13" customFormat="1" ht="13.5" customHeight="1">
      <c r="A29" s="34"/>
      <c r="B29" s="154"/>
      <c r="C29" s="154"/>
      <c r="D29" s="154"/>
      <c r="E29" s="154"/>
      <c r="F29" s="154"/>
      <c r="G29" s="154"/>
      <c r="H29" s="154"/>
      <c r="I29" s="154"/>
      <c r="J29" s="154"/>
      <c r="K29" s="154"/>
      <c r="L29" s="154"/>
      <c r="M29" s="154"/>
      <c r="N29" s="154"/>
      <c r="O29" s="154"/>
      <c r="P29" s="154"/>
      <c r="Q29" s="154"/>
      <c r="R29" s="12"/>
      <c r="T29"/>
      <c r="U29"/>
      <c r="V29"/>
      <c r="W29"/>
      <c r="X29"/>
      <c r="Y29"/>
    </row>
    <row r="30" spans="1:25" s="13" customFormat="1" ht="13.5" customHeight="1">
      <c r="A30" s="91"/>
      <c r="B30" s="371" t="s">
        <v>150</v>
      </c>
      <c r="C30" s="372"/>
      <c r="D30" s="372"/>
      <c r="E30" s="372"/>
      <c r="F30" s="372"/>
      <c r="G30" s="372"/>
      <c r="H30" s="372"/>
      <c r="I30" s="372"/>
      <c r="J30" s="372"/>
      <c r="K30" s="372"/>
      <c r="L30" s="372"/>
      <c r="M30" s="372"/>
      <c r="N30" s="372"/>
      <c r="O30" s="372"/>
      <c r="P30" s="372"/>
      <c r="Q30" s="372"/>
      <c r="R30" s="14"/>
    </row>
    <row r="31" spans="1:25" s="13" customFormat="1" ht="13.5" customHeight="1">
      <c r="A31" s="91"/>
      <c r="B31" s="372"/>
      <c r="C31" s="372"/>
      <c r="D31" s="372"/>
      <c r="E31" s="372"/>
      <c r="F31" s="372"/>
      <c r="G31" s="372"/>
      <c r="H31" s="372"/>
      <c r="I31" s="372"/>
      <c r="J31" s="372"/>
      <c r="K31" s="372"/>
      <c r="L31" s="372"/>
      <c r="M31" s="372"/>
      <c r="N31" s="372"/>
      <c r="O31" s="372"/>
      <c r="P31" s="372"/>
      <c r="Q31" s="372"/>
      <c r="R31" s="14"/>
    </row>
    <row r="32" spans="1:25" s="13" customFormat="1" ht="13.5" customHeight="1">
      <c r="A32" s="91"/>
      <c r="B32" s="372"/>
      <c r="C32" s="372"/>
      <c r="D32" s="372"/>
      <c r="E32" s="372"/>
      <c r="F32" s="372"/>
      <c r="G32" s="372"/>
      <c r="H32" s="372"/>
      <c r="I32" s="372"/>
      <c r="J32" s="372"/>
      <c r="K32" s="372"/>
      <c r="L32" s="372"/>
      <c r="M32" s="372"/>
      <c r="N32" s="372"/>
      <c r="O32" s="372"/>
      <c r="P32" s="372"/>
      <c r="Q32" s="372"/>
      <c r="R32" s="14"/>
    </row>
    <row r="33" spans="1:25" s="13" customFormat="1" ht="13.5" customHeight="1">
      <c r="A33" s="91"/>
      <c r="B33" s="372"/>
      <c r="C33" s="372"/>
      <c r="D33" s="372"/>
      <c r="E33" s="372"/>
      <c r="F33" s="372"/>
      <c r="G33" s="372"/>
      <c r="H33" s="372"/>
      <c r="I33" s="372"/>
      <c r="J33" s="372"/>
      <c r="K33" s="372"/>
      <c r="L33" s="372"/>
      <c r="M33" s="372"/>
      <c r="N33" s="372"/>
      <c r="O33" s="372"/>
      <c r="P33" s="372"/>
      <c r="Q33" s="372"/>
      <c r="R33" s="14"/>
    </row>
    <row r="34" spans="1:25" s="13" customFormat="1" ht="13.5" customHeight="1">
      <c r="A34" s="91"/>
      <c r="B34" s="372"/>
      <c r="C34" s="372"/>
      <c r="D34" s="372"/>
      <c r="E34" s="372"/>
      <c r="F34" s="372"/>
      <c r="G34" s="372"/>
      <c r="H34" s="372"/>
      <c r="I34" s="372"/>
      <c r="J34" s="372"/>
      <c r="K34" s="372"/>
      <c r="L34" s="372"/>
      <c r="M34" s="372"/>
      <c r="N34" s="372"/>
      <c r="O34" s="372"/>
      <c r="P34" s="372"/>
      <c r="Q34" s="372"/>
      <c r="R34" s="14"/>
    </row>
    <row r="35" spans="1:25" s="13" customFormat="1" ht="13.5" customHeight="1">
      <c r="A35" s="91"/>
      <c r="B35" s="372"/>
      <c r="C35" s="372"/>
      <c r="D35" s="372"/>
      <c r="E35" s="372"/>
      <c r="F35" s="372"/>
      <c r="G35" s="372"/>
      <c r="H35" s="372"/>
      <c r="I35" s="372"/>
      <c r="J35" s="372"/>
      <c r="K35" s="372"/>
      <c r="L35" s="372"/>
      <c r="M35" s="372"/>
      <c r="N35" s="372"/>
      <c r="O35" s="372"/>
      <c r="P35" s="372"/>
      <c r="Q35" s="372"/>
      <c r="R35" s="14"/>
    </row>
    <row r="36" spans="1:25" s="13" customFormat="1" ht="13.5" customHeight="1">
      <c r="A36" s="91"/>
      <c r="B36" s="372"/>
      <c r="C36" s="372"/>
      <c r="D36" s="372"/>
      <c r="E36" s="372"/>
      <c r="F36" s="372"/>
      <c r="G36" s="372"/>
      <c r="H36" s="372"/>
      <c r="I36" s="372"/>
      <c r="J36" s="372"/>
      <c r="K36" s="372"/>
      <c r="L36" s="372"/>
      <c r="M36" s="372"/>
      <c r="N36" s="372"/>
      <c r="O36" s="372"/>
      <c r="P36" s="372"/>
      <c r="Q36" s="372"/>
      <c r="R36" s="14"/>
    </row>
    <row r="37" spans="1:25" s="13" customFormat="1" ht="13.5" customHeight="1">
      <c r="A37" s="35"/>
      <c r="B37" s="155"/>
      <c r="C37" s="155"/>
      <c r="D37" s="155"/>
      <c r="E37" s="155"/>
      <c r="F37" s="155"/>
      <c r="G37" s="155"/>
      <c r="H37" s="155"/>
      <c r="I37" s="155"/>
      <c r="J37" s="155"/>
      <c r="K37" s="155"/>
      <c r="L37" s="155"/>
      <c r="M37" s="155"/>
      <c r="N37" s="155"/>
      <c r="O37" s="155"/>
      <c r="P37" s="155"/>
      <c r="Q37" s="155"/>
      <c r="R37" s="16"/>
    </row>
    <row r="38" spans="1:25" ht="13.5" customHeight="1">
      <c r="T38" s="13"/>
      <c r="U38" s="13"/>
      <c r="V38" s="13"/>
      <c r="W38" s="13"/>
      <c r="X38" s="13"/>
      <c r="Y38" s="13"/>
    </row>
    <row r="39" spans="1:25" ht="13.5" customHeight="1"/>
    <row r="40" spans="1:25" ht="13.5" customHeight="1">
      <c r="A40" s="297" t="s">
        <v>143</v>
      </c>
      <c r="B40" s="297"/>
      <c r="C40" s="297"/>
      <c r="D40" s="297"/>
      <c r="E40" s="297"/>
      <c r="F40" s="297"/>
      <c r="G40" s="297"/>
      <c r="H40" s="297"/>
      <c r="I40" s="297"/>
      <c r="J40" s="297"/>
      <c r="K40" s="297"/>
      <c r="L40" s="297"/>
      <c r="M40" s="297"/>
    </row>
    <row r="41" spans="1:25" ht="13.5" customHeight="1">
      <c r="A41" s="297"/>
      <c r="B41" s="297"/>
      <c r="C41" s="297"/>
      <c r="D41" s="297"/>
      <c r="E41" s="297"/>
      <c r="F41" s="297"/>
      <c r="G41" s="297"/>
      <c r="H41" s="297"/>
      <c r="I41" s="297"/>
      <c r="J41" s="297"/>
      <c r="K41" s="297"/>
      <c r="L41" s="297"/>
      <c r="M41" s="297"/>
    </row>
    <row r="42" spans="1:25">
      <c r="A42" s="110" t="s">
        <v>144</v>
      </c>
    </row>
    <row r="43" spans="1:25">
      <c r="A43" s="110" t="s">
        <v>145</v>
      </c>
    </row>
    <row r="45" spans="1:25">
      <c r="A45" s="373" t="s">
        <v>38</v>
      </c>
      <c r="B45" s="374"/>
      <c r="C45" s="298">
        <v>11</v>
      </c>
      <c r="D45" s="2"/>
      <c r="E45" s="2"/>
      <c r="F45" s="2"/>
      <c r="G45" s="2"/>
      <c r="H45" s="2"/>
      <c r="I45" s="2"/>
      <c r="J45" s="2"/>
      <c r="K45" s="2"/>
      <c r="L45" s="2"/>
      <c r="M45" s="2"/>
      <c r="N45" s="2"/>
      <c r="O45" s="2"/>
      <c r="P45" s="2"/>
      <c r="Q45" s="2"/>
      <c r="R45" s="3"/>
    </row>
    <row r="46" spans="1:25">
      <c r="A46" s="375"/>
      <c r="B46" s="376"/>
      <c r="C46" s="301"/>
      <c r="R46" s="10"/>
    </row>
    <row r="47" spans="1:25" ht="13.5" customHeight="1">
      <c r="A47" s="377"/>
      <c r="B47" s="378"/>
      <c r="C47" s="301"/>
      <c r="R47" s="10"/>
    </row>
    <row r="48" spans="1:25" ht="13.5" customHeight="1">
      <c r="A48" s="379" t="s">
        <v>146</v>
      </c>
      <c r="B48" s="380"/>
      <c r="C48" s="391" t="str">
        <f>LOOKUP(C45,'潜在数　課題・傾向'!A3:A13,'潜在数　課題・傾向'!B3:B13)</f>
        <v>色々なものを敏感に感じる。周囲から理解されない。アンチスピリチュアル。
周りに影響されやすい。自信がない。</v>
      </c>
      <c r="D48" s="392"/>
      <c r="E48" s="392"/>
      <c r="F48" s="392"/>
      <c r="G48" s="392"/>
      <c r="H48" s="392"/>
      <c r="I48" s="392"/>
      <c r="J48" s="392"/>
      <c r="K48" s="392"/>
      <c r="L48" s="392"/>
      <c r="M48" s="392"/>
      <c r="N48" s="392"/>
      <c r="O48" s="392"/>
      <c r="P48" s="392"/>
      <c r="Q48" s="392"/>
      <c r="R48" s="101"/>
    </row>
    <row r="49" spans="1:18" ht="13.5" customHeight="1">
      <c r="A49" s="381"/>
      <c r="B49" s="382"/>
      <c r="C49" s="393"/>
      <c r="D49" s="394"/>
      <c r="E49" s="394"/>
      <c r="F49" s="394"/>
      <c r="G49" s="394"/>
      <c r="H49" s="394"/>
      <c r="I49" s="394"/>
      <c r="J49" s="394"/>
      <c r="K49" s="394"/>
      <c r="L49" s="394"/>
      <c r="M49" s="394"/>
      <c r="N49" s="394"/>
      <c r="O49" s="394"/>
      <c r="P49" s="394"/>
      <c r="Q49" s="394"/>
      <c r="R49" s="102"/>
    </row>
    <row r="50" spans="1:18" ht="13.5" customHeight="1">
      <c r="A50" s="383"/>
      <c r="B50" s="384"/>
      <c r="C50" s="395"/>
      <c r="D50" s="396"/>
      <c r="E50" s="396"/>
      <c r="F50" s="396"/>
      <c r="G50" s="396"/>
      <c r="H50" s="396"/>
      <c r="I50" s="396"/>
      <c r="J50" s="396"/>
      <c r="K50" s="396"/>
      <c r="L50" s="396"/>
      <c r="M50" s="396"/>
      <c r="N50" s="396"/>
      <c r="O50" s="396"/>
      <c r="P50" s="396"/>
      <c r="Q50" s="396"/>
      <c r="R50" s="103"/>
    </row>
    <row r="51" spans="1:18" ht="13.5" customHeight="1">
      <c r="A51" s="385" t="s">
        <v>147</v>
      </c>
      <c r="B51" s="386"/>
      <c r="C51" s="391" t="str">
        <f>LOOKUP(C45,'潜在数　課題・傾向'!A3:A13,'潜在数　課題・傾向'!C3:C13)</f>
        <v>見えない世界の存在を自分の意思とは別に感じる。他の人と感性が違う。現実的な物事に向き合うことが苦手、どこかつかみどころがないと思われるなどのパターンを繰り返してきたのではないでしょうか？　　　　　　　　　　　　　　　　　　　　　　　　　　　　　　　　　　　　　　　　　　　　　　　　　　　　　　　　　　　　　豊かな感受性を理解されず孤独を味わう。もうそんな物語を十分やり尽したと感じることができたなら、その「繊細な感性」を現実的なスピリチュアル能力に変え、天命へと意識を向けましょう。</v>
      </c>
      <c r="D51" s="392"/>
      <c r="E51" s="392"/>
      <c r="F51" s="392"/>
      <c r="G51" s="392"/>
      <c r="H51" s="392"/>
      <c r="I51" s="392"/>
      <c r="J51" s="392"/>
      <c r="K51" s="392"/>
      <c r="L51" s="392"/>
      <c r="M51" s="392"/>
      <c r="N51" s="392"/>
      <c r="O51" s="392"/>
      <c r="P51" s="392"/>
      <c r="Q51" s="392"/>
      <c r="R51" s="102"/>
    </row>
    <row r="52" spans="1:18" ht="13.5" customHeight="1">
      <c r="A52" s="387"/>
      <c r="B52" s="388"/>
      <c r="C52" s="393"/>
      <c r="D52" s="394"/>
      <c r="E52" s="394"/>
      <c r="F52" s="394"/>
      <c r="G52" s="394"/>
      <c r="H52" s="394"/>
      <c r="I52" s="394"/>
      <c r="J52" s="394"/>
      <c r="K52" s="394"/>
      <c r="L52" s="394"/>
      <c r="M52" s="394"/>
      <c r="N52" s="394"/>
      <c r="O52" s="394"/>
      <c r="P52" s="394"/>
      <c r="Q52" s="394"/>
      <c r="R52" s="102"/>
    </row>
    <row r="53" spans="1:18" ht="13.5" customHeight="1">
      <c r="A53" s="387"/>
      <c r="B53" s="388"/>
      <c r="C53" s="393"/>
      <c r="D53" s="394"/>
      <c r="E53" s="394"/>
      <c r="F53" s="394"/>
      <c r="G53" s="394"/>
      <c r="H53" s="394"/>
      <c r="I53" s="394"/>
      <c r="J53" s="394"/>
      <c r="K53" s="394"/>
      <c r="L53" s="394"/>
      <c r="M53" s="394"/>
      <c r="N53" s="394"/>
      <c r="O53" s="394"/>
      <c r="P53" s="394"/>
      <c r="Q53" s="394"/>
      <c r="R53" s="102"/>
    </row>
    <row r="54" spans="1:18" ht="13.5" customHeight="1">
      <c r="A54" s="387"/>
      <c r="B54" s="388"/>
      <c r="C54" s="393"/>
      <c r="D54" s="394"/>
      <c r="E54" s="394"/>
      <c r="F54" s="394"/>
      <c r="G54" s="394"/>
      <c r="H54" s="394"/>
      <c r="I54" s="394"/>
      <c r="J54" s="394"/>
      <c r="K54" s="394"/>
      <c r="L54" s="394"/>
      <c r="M54" s="394"/>
      <c r="N54" s="394"/>
      <c r="O54" s="394"/>
      <c r="P54" s="394"/>
      <c r="Q54" s="394"/>
      <c r="R54" s="102"/>
    </row>
    <row r="55" spans="1:18" ht="13.5" customHeight="1">
      <c r="A55" s="387"/>
      <c r="B55" s="388"/>
      <c r="C55" s="393"/>
      <c r="D55" s="394"/>
      <c r="E55" s="394"/>
      <c r="F55" s="394"/>
      <c r="G55" s="394"/>
      <c r="H55" s="394"/>
      <c r="I55" s="394"/>
      <c r="J55" s="394"/>
      <c r="K55" s="394"/>
      <c r="L55" s="394"/>
      <c r="M55" s="394"/>
      <c r="N55" s="394"/>
      <c r="O55" s="394"/>
      <c r="P55" s="394"/>
      <c r="Q55" s="394"/>
      <c r="R55" s="102"/>
    </row>
    <row r="56" spans="1:18" ht="13.5" customHeight="1">
      <c r="A56" s="389"/>
      <c r="B56" s="390"/>
      <c r="C56" s="395"/>
      <c r="D56" s="396"/>
      <c r="E56" s="396"/>
      <c r="F56" s="396"/>
      <c r="G56" s="396"/>
      <c r="H56" s="396"/>
      <c r="I56" s="396"/>
      <c r="J56" s="396"/>
      <c r="K56" s="396"/>
      <c r="L56" s="396"/>
      <c r="M56" s="396"/>
      <c r="N56" s="396"/>
      <c r="O56" s="396"/>
      <c r="P56" s="396"/>
      <c r="Q56" s="396"/>
      <c r="R56" s="103"/>
    </row>
    <row r="59" spans="1:18">
      <c r="D59" s="13" t="s">
        <v>95</v>
      </c>
      <c r="H59" s="13"/>
      <c r="I59" s="13"/>
      <c r="L59" s="13"/>
      <c r="M59" s="13"/>
    </row>
  </sheetData>
  <sheetProtection selectLockedCells="1"/>
  <mergeCells count="35">
    <mergeCell ref="A51:B56"/>
    <mergeCell ref="C51:Q56"/>
    <mergeCell ref="B30:Q36"/>
    <mergeCell ref="A40:M41"/>
    <mergeCell ref="A45:B47"/>
    <mergeCell ref="C45:C47"/>
    <mergeCell ref="A48:B50"/>
    <mergeCell ref="C48:Q50"/>
    <mergeCell ref="T22:Y27"/>
    <mergeCell ref="A23:C24"/>
    <mergeCell ref="D23:D24"/>
    <mergeCell ref="E23:H24"/>
    <mergeCell ref="I23:I24"/>
    <mergeCell ref="J23:L24"/>
    <mergeCell ref="M23:M24"/>
    <mergeCell ref="A21:C22"/>
    <mergeCell ref="D21:D22"/>
    <mergeCell ref="E21:H22"/>
    <mergeCell ref="I21:I22"/>
    <mergeCell ref="J21:L22"/>
    <mergeCell ref="M21:M22"/>
    <mergeCell ref="M19:M20"/>
    <mergeCell ref="M5:P5"/>
    <mergeCell ref="A8:M9"/>
    <mergeCell ref="A12:Q12"/>
    <mergeCell ref="A14:C14"/>
    <mergeCell ref="A15:C15"/>
    <mergeCell ref="A18:C18"/>
    <mergeCell ref="E18:H18"/>
    <mergeCell ref="J18:L18"/>
    <mergeCell ref="A19:C20"/>
    <mergeCell ref="D19:D20"/>
    <mergeCell ref="E19:H20"/>
    <mergeCell ref="I19:I20"/>
    <mergeCell ref="J19:L20"/>
  </mergeCells>
  <phoneticPr fontId="1"/>
  <pageMargins left="0.90551181102362199" right="0.51181102362204722" top="0.15748031496062992" bottom="0.15748031496062992" header="0" footer="0"/>
  <pageSetup paperSize="9" orientation="portrait" horizontalDpi="4294967293"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9">
    <tabColor rgb="FFFEC2F5"/>
  </sheetPr>
  <dimension ref="A1:Y59"/>
  <sheetViews>
    <sheetView topLeftCell="A22" zoomScale="87" zoomScaleNormal="87" workbookViewId="0">
      <selection activeCell="A40" sqref="A40:M41"/>
    </sheetView>
  </sheetViews>
  <sheetFormatPr defaultRowHeight="13.5"/>
  <cols>
    <col min="1" max="1" width="2.75" customWidth="1"/>
    <col min="2" max="2" width="7" customWidth="1"/>
    <col min="5" max="8" width="2.25" customWidth="1"/>
    <col min="10" max="10" width="4.375" customWidth="1"/>
    <col min="11" max="12" width="2.25" customWidth="1"/>
    <col min="14" max="14" width="4.375" customWidth="1"/>
    <col min="15" max="16" width="2.25" customWidth="1"/>
    <col min="17" max="17" width="6.375" customWidth="1"/>
    <col min="18" max="18" width="2.25" customWidth="1"/>
    <col min="22" max="22" width="2.75" customWidth="1"/>
  </cols>
  <sheetData>
    <row r="1" spans="1:21" ht="30" customHeight="1"/>
    <row r="2" spans="1:21" ht="33" customHeight="1"/>
    <row r="3" spans="1:21" s="28" customFormat="1">
      <c r="A3" s="107" t="s">
        <v>20</v>
      </c>
      <c r="M3" s="108" t="s">
        <v>21</v>
      </c>
      <c r="Q3" s="1" t="s">
        <v>126</v>
      </c>
    </row>
    <row r="4" spans="1:21" s="28" customFormat="1" ht="12"/>
    <row r="5" spans="1:21" s="28" customFormat="1" ht="18.75" customHeight="1">
      <c r="H5" s="90"/>
      <c r="I5" s="88" t="s">
        <v>23</v>
      </c>
      <c r="J5" s="88"/>
      <c r="K5" s="88"/>
      <c r="L5" s="88"/>
      <c r="M5" s="293">
        <f>入力データ!C18</f>
        <v>0</v>
      </c>
      <c r="N5" s="293"/>
      <c r="O5" s="293"/>
      <c r="P5" s="293"/>
      <c r="Q5" s="88" t="s">
        <v>24</v>
      </c>
      <c r="R5" s="89"/>
    </row>
    <row r="6" spans="1:21" s="28" customFormat="1" ht="12"/>
    <row r="8" spans="1:21" ht="13.5" customHeight="1">
      <c r="A8" s="295" t="s">
        <v>127</v>
      </c>
      <c r="B8" s="295"/>
      <c r="C8" s="295"/>
      <c r="D8" s="295"/>
      <c r="E8" s="295"/>
      <c r="F8" s="295"/>
      <c r="G8" s="295"/>
      <c r="H8" s="295"/>
      <c r="I8" s="295"/>
      <c r="J8" s="295"/>
      <c r="K8" s="295"/>
      <c r="L8" s="295"/>
      <c r="M8" s="295"/>
    </row>
    <row r="9" spans="1:21" ht="13.5" customHeight="1">
      <c r="A9" s="295"/>
      <c r="B9" s="295"/>
      <c r="C9" s="295"/>
      <c r="D9" s="295"/>
      <c r="E9" s="295"/>
      <c r="F9" s="295"/>
      <c r="G9" s="295"/>
      <c r="H9" s="295"/>
      <c r="I9" s="295"/>
      <c r="J9" s="295"/>
      <c r="K9" s="295"/>
      <c r="L9" s="295"/>
      <c r="M9" s="295"/>
    </row>
    <row r="11" spans="1:21" s="28" customFormat="1" ht="13.5" customHeight="1">
      <c r="A11" s="107" t="s">
        <v>128</v>
      </c>
      <c r="B11" s="13"/>
      <c r="C11" s="13"/>
      <c r="D11" s="13"/>
      <c r="E11" s="13"/>
      <c r="F11" s="13"/>
      <c r="G11" s="13"/>
      <c r="H11" s="13"/>
      <c r="I11" s="13"/>
      <c r="J11" s="13"/>
      <c r="K11" s="13"/>
      <c r="L11" s="13"/>
      <c r="M11" s="13"/>
      <c r="N11" s="13"/>
      <c r="O11" s="13"/>
      <c r="P11" s="13"/>
      <c r="Q11" s="13"/>
      <c r="R11" s="13"/>
    </row>
    <row r="12" spans="1:21" s="28" customFormat="1" ht="13.5" customHeight="1">
      <c r="A12" s="401" t="s">
        <v>129</v>
      </c>
      <c r="B12" s="401"/>
      <c r="C12" s="401"/>
      <c r="D12" s="401"/>
      <c r="E12" s="401"/>
      <c r="F12" s="401"/>
      <c r="G12" s="401"/>
      <c r="H12" s="401"/>
      <c r="I12" s="401"/>
      <c r="J12" s="401"/>
      <c r="K12" s="401"/>
      <c r="L12" s="401"/>
      <c r="M12" s="401"/>
      <c r="N12" s="401"/>
      <c r="O12" s="401"/>
      <c r="P12" s="401"/>
      <c r="Q12" s="401"/>
      <c r="R12" s="104"/>
      <c r="U12" s="107"/>
    </row>
    <row r="13" spans="1:21" ht="13.5" customHeight="1"/>
    <row r="14" spans="1:21" s="28" customFormat="1" ht="13.5" customHeight="1">
      <c r="A14" s="422" t="s">
        <v>148</v>
      </c>
      <c r="B14" s="423"/>
      <c r="C14" s="424"/>
      <c r="D14" s="86"/>
      <c r="E14" s="88">
        <f>入力データ!C23</f>
        <v>0</v>
      </c>
      <c r="F14" s="88">
        <f>入力データ!D23</f>
        <v>0</v>
      </c>
      <c r="G14" s="88">
        <f>入力データ!E23</f>
        <v>0</v>
      </c>
      <c r="H14" s="88">
        <f>入力データ!F23</f>
        <v>0</v>
      </c>
      <c r="I14" s="88" t="s">
        <v>26</v>
      </c>
      <c r="J14" s="88"/>
      <c r="K14" s="88">
        <f>入力データ!H23</f>
        <v>0</v>
      </c>
      <c r="L14" s="88">
        <f>入力データ!I23</f>
        <v>0</v>
      </c>
      <c r="M14" s="88" t="s">
        <v>27</v>
      </c>
      <c r="N14" s="88"/>
      <c r="O14" s="88">
        <f>入力データ!K23</f>
        <v>0</v>
      </c>
      <c r="P14" s="88">
        <f>入力データ!L23</f>
        <v>0</v>
      </c>
      <c r="Q14" s="88" t="s">
        <v>28</v>
      </c>
      <c r="R14" s="89"/>
    </row>
    <row r="15" spans="1:21" s="28" customFormat="1" ht="13.5" customHeight="1">
      <c r="A15" s="266" t="s">
        <v>149</v>
      </c>
      <c r="B15" s="267"/>
      <c r="C15" s="405"/>
      <c r="D15" s="86"/>
      <c r="E15" s="88">
        <f>入力データ!C28</f>
        <v>0</v>
      </c>
      <c r="F15" s="88">
        <f>入力データ!D28</f>
        <v>0</v>
      </c>
      <c r="G15" s="88">
        <f>入力データ!E28</f>
        <v>0</v>
      </c>
      <c r="H15" s="88">
        <f>入力データ!F28</f>
        <v>0</v>
      </c>
      <c r="I15" s="88" t="s">
        <v>26</v>
      </c>
      <c r="J15" s="88"/>
      <c r="K15" s="88">
        <f>入力データ!H28</f>
        <v>0</v>
      </c>
      <c r="L15" s="88">
        <f>入力データ!I28</f>
        <v>0</v>
      </c>
      <c r="M15" s="88" t="s">
        <v>27</v>
      </c>
      <c r="N15" s="88"/>
      <c r="O15" s="88">
        <f>入力データ!K28</f>
        <v>0</v>
      </c>
      <c r="P15" s="88">
        <f>入力データ!L28</f>
        <v>0</v>
      </c>
      <c r="Q15" s="88" t="s">
        <v>28</v>
      </c>
      <c r="R15" s="89"/>
    </row>
    <row r="16" spans="1:21" ht="13.5" customHeight="1">
      <c r="S16" s="151"/>
    </row>
    <row r="17" spans="1:25" ht="13.5" customHeight="1"/>
    <row r="18" spans="1:25" s="39" customFormat="1" ht="13.5" customHeight="1">
      <c r="A18" s="406" t="s">
        <v>132</v>
      </c>
      <c r="B18" s="406"/>
      <c r="C18" s="406"/>
      <c r="D18" s="223" t="s">
        <v>4</v>
      </c>
      <c r="E18" s="419" t="s">
        <v>38</v>
      </c>
      <c r="F18" s="420"/>
      <c r="G18" s="420"/>
      <c r="H18" s="421"/>
      <c r="I18" s="223" t="s">
        <v>6</v>
      </c>
      <c r="J18" s="419" t="s">
        <v>7</v>
      </c>
      <c r="K18" s="420"/>
      <c r="L18" s="421"/>
      <c r="M18" s="223" t="s">
        <v>8</v>
      </c>
    </row>
    <row r="19" spans="1:25" s="39" customFormat="1">
      <c r="A19" s="425" t="s">
        <v>133</v>
      </c>
      <c r="B19" s="425"/>
      <c r="C19" s="425"/>
      <c r="D19" s="416" t="str">
        <f>入力データ!O24</f>
        <v/>
      </c>
      <c r="E19" s="397" t="str">
        <f>入力データ!P24</f>
        <v/>
      </c>
      <c r="F19" s="397"/>
      <c r="G19" s="397"/>
      <c r="H19" s="397"/>
      <c r="I19" s="397" t="str">
        <f>入力データ!Q24</f>
        <v/>
      </c>
      <c r="J19" s="397" t="str">
        <f>入力データ!R24</f>
        <v/>
      </c>
      <c r="K19" s="397"/>
      <c r="L19" s="397"/>
      <c r="M19" s="397" t="str">
        <f>入力データ!S24</f>
        <v/>
      </c>
      <c r="R19" s="222"/>
      <c r="T19" s="39" t="s">
        <v>134</v>
      </c>
    </row>
    <row r="20" spans="1:25" s="39" customFormat="1">
      <c r="A20" s="425"/>
      <c r="B20" s="425"/>
      <c r="C20" s="425"/>
      <c r="D20" s="417"/>
      <c r="E20" s="397"/>
      <c r="F20" s="397"/>
      <c r="G20" s="397"/>
      <c r="H20" s="397"/>
      <c r="I20" s="397"/>
      <c r="J20" s="397"/>
      <c r="K20" s="397"/>
      <c r="L20" s="397"/>
      <c r="M20" s="397"/>
      <c r="T20" s="39" t="s">
        <v>135</v>
      </c>
    </row>
    <row r="21" spans="1:25" s="39" customFormat="1">
      <c r="A21" s="399" t="s">
        <v>136</v>
      </c>
      <c r="B21" s="399"/>
      <c r="C21" s="399"/>
      <c r="D21" s="416" t="str">
        <f>入力データ!O29</f>
        <v/>
      </c>
      <c r="E21" s="397" t="str">
        <f>入力データ!P29</f>
        <v/>
      </c>
      <c r="F21" s="397"/>
      <c r="G21" s="397"/>
      <c r="H21" s="397"/>
      <c r="I21" s="397" t="str">
        <f>入力データ!Q29</f>
        <v/>
      </c>
      <c r="J21" s="397" t="str">
        <f>入力データ!R29</f>
        <v/>
      </c>
      <c r="K21" s="397"/>
      <c r="L21" s="397"/>
      <c r="M21" s="397" t="str">
        <f>入力データ!S29</f>
        <v/>
      </c>
    </row>
    <row r="22" spans="1:25" s="39" customFormat="1">
      <c r="A22" s="399"/>
      <c r="B22" s="399"/>
      <c r="C22" s="399"/>
      <c r="D22" s="417"/>
      <c r="E22" s="397"/>
      <c r="F22" s="397"/>
      <c r="G22" s="397"/>
      <c r="H22" s="397"/>
      <c r="I22" s="397"/>
      <c r="J22" s="397"/>
      <c r="K22" s="397"/>
      <c r="L22" s="397"/>
      <c r="M22" s="397"/>
      <c r="T22" s="407"/>
      <c r="U22" s="408"/>
      <c r="V22" s="408"/>
      <c r="W22" s="408"/>
      <c r="X22" s="408"/>
      <c r="Y22" s="409"/>
    </row>
    <row r="23" spans="1:25" s="39" customFormat="1">
      <c r="A23" s="400" t="s">
        <v>137</v>
      </c>
      <c r="B23" s="400"/>
      <c r="C23" s="400"/>
      <c r="D23" s="416" t="str">
        <f>入力データ!O19</f>
        <v/>
      </c>
      <c r="E23" s="397" t="str">
        <f>入力データ!P19</f>
        <v/>
      </c>
      <c r="F23" s="397"/>
      <c r="G23" s="397"/>
      <c r="H23" s="397"/>
      <c r="I23" s="397" t="str">
        <f>入力データ!Q19</f>
        <v/>
      </c>
      <c r="J23" s="397" t="str">
        <f>入力データ!R19</f>
        <v/>
      </c>
      <c r="K23" s="397"/>
      <c r="L23" s="397"/>
      <c r="M23" s="397" t="str">
        <f>入力データ!S19</f>
        <v/>
      </c>
      <c r="T23" s="410"/>
      <c r="U23" s="411"/>
      <c r="V23" s="411"/>
      <c r="W23" s="411"/>
      <c r="X23" s="411"/>
      <c r="Y23" s="412"/>
    </row>
    <row r="24" spans="1:25" s="39" customFormat="1">
      <c r="A24" s="400"/>
      <c r="B24" s="400"/>
      <c r="C24" s="400"/>
      <c r="D24" s="418"/>
      <c r="E24" s="397"/>
      <c r="F24" s="397"/>
      <c r="G24" s="397"/>
      <c r="H24" s="397"/>
      <c r="I24" s="397"/>
      <c r="J24" s="397"/>
      <c r="K24" s="397"/>
      <c r="L24" s="397"/>
      <c r="M24" s="397"/>
      <c r="T24" s="410"/>
      <c r="U24" s="411"/>
      <c r="V24" s="411"/>
      <c r="W24" s="411"/>
      <c r="X24" s="411"/>
      <c r="Y24" s="412"/>
    </row>
    <row r="25" spans="1:25" s="13" customFormat="1" ht="13.5" customHeight="1">
      <c r="A25" s="13" t="s">
        <v>138</v>
      </c>
      <c r="T25" s="410"/>
      <c r="U25" s="411"/>
      <c r="V25" s="411"/>
      <c r="W25" s="411"/>
      <c r="X25" s="411"/>
      <c r="Y25" s="412"/>
    </row>
    <row r="26" spans="1:25" s="13" customFormat="1" ht="13.5" customHeight="1">
      <c r="A26" s="13" t="s">
        <v>139</v>
      </c>
      <c r="T26" s="410"/>
      <c r="U26" s="411"/>
      <c r="V26" s="411"/>
      <c r="W26" s="411"/>
      <c r="X26" s="411"/>
      <c r="Y26" s="412"/>
    </row>
    <row r="27" spans="1:25" s="13" customFormat="1" ht="13.5" customHeight="1">
      <c r="A27" s="13" t="s">
        <v>140</v>
      </c>
      <c r="T27" s="413"/>
      <c r="U27" s="414"/>
      <c r="V27" s="414"/>
      <c r="W27" s="414"/>
      <c r="X27" s="414"/>
      <c r="Y27" s="415"/>
    </row>
    <row r="28" spans="1:25" ht="13.5" customHeight="1">
      <c r="T28" s="13"/>
      <c r="U28" s="13" t="s">
        <v>141</v>
      </c>
      <c r="V28" s="13"/>
      <c r="W28" s="13"/>
      <c r="X28" s="13"/>
      <c r="Y28" s="13"/>
    </row>
    <row r="29" spans="1:25" s="13" customFormat="1" ht="13.5" customHeight="1">
      <c r="A29" s="34"/>
      <c r="B29" s="154"/>
      <c r="C29" s="154"/>
      <c r="D29" s="154"/>
      <c r="E29" s="154"/>
      <c r="F29" s="154"/>
      <c r="G29" s="154"/>
      <c r="H29" s="154"/>
      <c r="I29" s="154"/>
      <c r="J29" s="154"/>
      <c r="K29" s="154"/>
      <c r="L29" s="154"/>
      <c r="M29" s="154"/>
      <c r="N29" s="154"/>
      <c r="O29" s="154"/>
      <c r="P29" s="154"/>
      <c r="Q29" s="154"/>
      <c r="R29" s="12"/>
      <c r="T29"/>
      <c r="U29"/>
      <c r="V29"/>
      <c r="W29"/>
      <c r="X29"/>
      <c r="Y29"/>
    </row>
    <row r="30" spans="1:25" s="13" customFormat="1" ht="13.5" customHeight="1">
      <c r="A30" s="91"/>
      <c r="B30" s="371" t="s">
        <v>150</v>
      </c>
      <c r="C30" s="372"/>
      <c r="D30" s="372"/>
      <c r="E30" s="372"/>
      <c r="F30" s="372"/>
      <c r="G30" s="372"/>
      <c r="H30" s="372"/>
      <c r="I30" s="372"/>
      <c r="J30" s="372"/>
      <c r="K30" s="372"/>
      <c r="L30" s="372"/>
      <c r="M30" s="372"/>
      <c r="N30" s="372"/>
      <c r="O30" s="372"/>
      <c r="P30" s="372"/>
      <c r="Q30" s="372"/>
      <c r="R30" s="14"/>
    </row>
    <row r="31" spans="1:25" s="13" customFormat="1" ht="13.5" customHeight="1">
      <c r="A31" s="91"/>
      <c r="B31" s="372"/>
      <c r="C31" s="372"/>
      <c r="D31" s="372"/>
      <c r="E31" s="372"/>
      <c r="F31" s="372"/>
      <c r="G31" s="372"/>
      <c r="H31" s="372"/>
      <c r="I31" s="372"/>
      <c r="J31" s="372"/>
      <c r="K31" s="372"/>
      <c r="L31" s="372"/>
      <c r="M31" s="372"/>
      <c r="N31" s="372"/>
      <c r="O31" s="372"/>
      <c r="P31" s="372"/>
      <c r="Q31" s="372"/>
      <c r="R31" s="14"/>
    </row>
    <row r="32" spans="1:25" s="13" customFormat="1" ht="13.5" customHeight="1">
      <c r="A32" s="91"/>
      <c r="B32" s="372"/>
      <c r="C32" s="372"/>
      <c r="D32" s="372"/>
      <c r="E32" s="372"/>
      <c r="F32" s="372"/>
      <c r="G32" s="372"/>
      <c r="H32" s="372"/>
      <c r="I32" s="372"/>
      <c r="J32" s="372"/>
      <c r="K32" s="372"/>
      <c r="L32" s="372"/>
      <c r="M32" s="372"/>
      <c r="N32" s="372"/>
      <c r="O32" s="372"/>
      <c r="P32" s="372"/>
      <c r="Q32" s="372"/>
      <c r="R32" s="14"/>
    </row>
    <row r="33" spans="1:25" s="13" customFormat="1" ht="13.5" customHeight="1">
      <c r="A33" s="91"/>
      <c r="B33" s="372"/>
      <c r="C33" s="372"/>
      <c r="D33" s="372"/>
      <c r="E33" s="372"/>
      <c r="F33" s="372"/>
      <c r="G33" s="372"/>
      <c r="H33" s="372"/>
      <c r="I33" s="372"/>
      <c r="J33" s="372"/>
      <c r="K33" s="372"/>
      <c r="L33" s="372"/>
      <c r="M33" s="372"/>
      <c r="N33" s="372"/>
      <c r="O33" s="372"/>
      <c r="P33" s="372"/>
      <c r="Q33" s="372"/>
      <c r="R33" s="14"/>
    </row>
    <row r="34" spans="1:25" s="13" customFormat="1" ht="13.5" customHeight="1">
      <c r="A34" s="91"/>
      <c r="B34" s="372"/>
      <c r="C34" s="372"/>
      <c r="D34" s="372"/>
      <c r="E34" s="372"/>
      <c r="F34" s="372"/>
      <c r="G34" s="372"/>
      <c r="H34" s="372"/>
      <c r="I34" s="372"/>
      <c r="J34" s="372"/>
      <c r="K34" s="372"/>
      <c r="L34" s="372"/>
      <c r="M34" s="372"/>
      <c r="N34" s="372"/>
      <c r="O34" s="372"/>
      <c r="P34" s="372"/>
      <c r="Q34" s="372"/>
      <c r="R34" s="14"/>
    </row>
    <row r="35" spans="1:25" s="13" customFormat="1" ht="13.5" customHeight="1">
      <c r="A35" s="91"/>
      <c r="B35" s="372"/>
      <c r="C35" s="372"/>
      <c r="D35" s="372"/>
      <c r="E35" s="372"/>
      <c r="F35" s="372"/>
      <c r="G35" s="372"/>
      <c r="H35" s="372"/>
      <c r="I35" s="372"/>
      <c r="J35" s="372"/>
      <c r="K35" s="372"/>
      <c r="L35" s="372"/>
      <c r="M35" s="372"/>
      <c r="N35" s="372"/>
      <c r="O35" s="372"/>
      <c r="P35" s="372"/>
      <c r="Q35" s="372"/>
      <c r="R35" s="14"/>
    </row>
    <row r="36" spans="1:25" s="13" customFormat="1" ht="13.5" customHeight="1">
      <c r="A36" s="91"/>
      <c r="B36" s="372"/>
      <c r="C36" s="372"/>
      <c r="D36" s="372"/>
      <c r="E36" s="372"/>
      <c r="F36" s="372"/>
      <c r="G36" s="372"/>
      <c r="H36" s="372"/>
      <c r="I36" s="372"/>
      <c r="J36" s="372"/>
      <c r="K36" s="372"/>
      <c r="L36" s="372"/>
      <c r="M36" s="372"/>
      <c r="N36" s="372"/>
      <c r="O36" s="372"/>
      <c r="P36" s="372"/>
      <c r="Q36" s="372"/>
      <c r="R36" s="14"/>
    </row>
    <row r="37" spans="1:25" s="13" customFormat="1" ht="13.5" customHeight="1">
      <c r="A37" s="35"/>
      <c r="B37" s="155"/>
      <c r="C37" s="155"/>
      <c r="D37" s="155"/>
      <c r="E37" s="155"/>
      <c r="F37" s="155"/>
      <c r="G37" s="155"/>
      <c r="H37" s="155"/>
      <c r="I37" s="155"/>
      <c r="J37" s="155"/>
      <c r="K37" s="155"/>
      <c r="L37" s="155"/>
      <c r="M37" s="155"/>
      <c r="N37" s="155"/>
      <c r="O37" s="155"/>
      <c r="P37" s="155"/>
      <c r="Q37" s="155"/>
      <c r="R37" s="16"/>
    </row>
    <row r="38" spans="1:25" ht="13.5" customHeight="1">
      <c r="T38" s="13"/>
      <c r="U38" s="13"/>
      <c r="V38" s="13"/>
      <c r="W38" s="13"/>
      <c r="X38" s="13"/>
      <c r="Y38" s="13"/>
    </row>
    <row r="39" spans="1:25" ht="13.5" customHeight="1"/>
    <row r="40" spans="1:25" ht="13.5" customHeight="1">
      <c r="A40" s="297" t="s">
        <v>143</v>
      </c>
      <c r="B40" s="297"/>
      <c r="C40" s="297"/>
      <c r="D40" s="297"/>
      <c r="E40" s="297"/>
      <c r="F40" s="297"/>
      <c r="G40" s="297"/>
      <c r="H40" s="297"/>
      <c r="I40" s="297"/>
      <c r="J40" s="297"/>
      <c r="K40" s="297"/>
      <c r="L40" s="297"/>
      <c r="M40" s="297"/>
    </row>
    <row r="41" spans="1:25" ht="13.5" customHeight="1">
      <c r="A41" s="297"/>
      <c r="B41" s="297"/>
      <c r="C41" s="297"/>
      <c r="D41" s="297"/>
      <c r="E41" s="297"/>
      <c r="F41" s="297"/>
      <c r="G41" s="297"/>
      <c r="H41" s="297"/>
      <c r="I41" s="297"/>
      <c r="J41" s="297"/>
      <c r="K41" s="297"/>
      <c r="L41" s="297"/>
      <c r="M41" s="297"/>
    </row>
    <row r="42" spans="1:25">
      <c r="A42" s="110" t="s">
        <v>144</v>
      </c>
    </row>
    <row r="43" spans="1:25">
      <c r="A43" s="110" t="s">
        <v>145</v>
      </c>
    </row>
    <row r="45" spans="1:25">
      <c r="A45" s="373" t="s">
        <v>38</v>
      </c>
      <c r="B45" s="374"/>
      <c r="C45" s="426">
        <v>22</v>
      </c>
      <c r="D45" s="2"/>
      <c r="E45" s="2"/>
      <c r="F45" s="2"/>
      <c r="G45" s="2"/>
      <c r="H45" s="2"/>
      <c r="I45" s="2"/>
      <c r="J45" s="2"/>
      <c r="K45" s="2"/>
      <c r="L45" s="2"/>
      <c r="M45" s="2"/>
      <c r="N45" s="2"/>
      <c r="O45" s="2"/>
      <c r="P45" s="2"/>
      <c r="Q45" s="2"/>
      <c r="R45" s="3"/>
    </row>
    <row r="46" spans="1:25">
      <c r="A46" s="375"/>
      <c r="B46" s="376"/>
      <c r="C46" s="427"/>
      <c r="R46" s="10"/>
    </row>
    <row r="47" spans="1:25" ht="13.5" customHeight="1">
      <c r="A47" s="377"/>
      <c r="B47" s="378"/>
      <c r="C47" s="427"/>
      <c r="R47" s="10"/>
    </row>
    <row r="48" spans="1:25" ht="13.5" customHeight="1">
      <c r="A48" s="379" t="s">
        <v>146</v>
      </c>
      <c r="B48" s="380"/>
      <c r="C48" s="391" t="str">
        <f>LOOKUP(C45,'潜在数　課題・傾向'!A3:A13,'潜在数　課題・傾向'!B3:B13)</f>
        <v>存在を抑える。目立たないようにする。</v>
      </c>
      <c r="D48" s="392"/>
      <c r="E48" s="392"/>
      <c r="F48" s="392"/>
      <c r="G48" s="392"/>
      <c r="H48" s="392"/>
      <c r="I48" s="392"/>
      <c r="J48" s="392"/>
      <c r="K48" s="392"/>
      <c r="L48" s="392"/>
      <c r="M48" s="392"/>
      <c r="N48" s="392"/>
      <c r="O48" s="392"/>
      <c r="P48" s="392"/>
      <c r="Q48" s="392"/>
      <c r="R48" s="101"/>
    </row>
    <row r="49" spans="1:18" ht="13.5" customHeight="1">
      <c r="A49" s="381"/>
      <c r="B49" s="382"/>
      <c r="C49" s="393"/>
      <c r="D49" s="394"/>
      <c r="E49" s="394"/>
      <c r="F49" s="394"/>
      <c r="G49" s="394"/>
      <c r="H49" s="394"/>
      <c r="I49" s="394"/>
      <c r="J49" s="394"/>
      <c r="K49" s="394"/>
      <c r="L49" s="394"/>
      <c r="M49" s="394"/>
      <c r="N49" s="394"/>
      <c r="O49" s="394"/>
      <c r="P49" s="394"/>
      <c r="Q49" s="394"/>
      <c r="R49" s="102"/>
    </row>
    <row r="50" spans="1:18" ht="13.5" customHeight="1">
      <c r="A50" s="383"/>
      <c r="B50" s="384"/>
      <c r="C50" s="395"/>
      <c r="D50" s="396"/>
      <c r="E50" s="396"/>
      <c r="F50" s="396"/>
      <c r="G50" s="396"/>
      <c r="H50" s="396"/>
      <c r="I50" s="396"/>
      <c r="J50" s="396"/>
      <c r="K50" s="396"/>
      <c r="L50" s="396"/>
      <c r="M50" s="396"/>
      <c r="N50" s="396"/>
      <c r="O50" s="396"/>
      <c r="P50" s="396"/>
      <c r="Q50" s="396"/>
      <c r="R50" s="103"/>
    </row>
    <row r="51" spans="1:18" ht="13.5" customHeight="1">
      <c r="A51" s="385" t="s">
        <v>147</v>
      </c>
      <c r="B51" s="386"/>
      <c r="C51" s="391" t="str">
        <f>LOOKUP(C45,'潜在数　課題・傾向'!A3:A13,'潜在数　課題・傾向'!C3:C13)</f>
        <v>何を発言しても、どう振る舞っても存在自体が目立ってしまう。また自分自身、大舞台で活躍してこそ本領を発揮できることを知っているのに、周りから理解されない、邪魔されるなどのパターンを繰り返してきたのではないでしょうか？
 孤独を存分に味わい、見えない力と戦う。もうそんな物語を十分やり尽したと感じることができたなら、その「強固な行動力」を人に還元するために使う、天命へと意識を向けましょう。</v>
      </c>
      <c r="D51" s="392"/>
      <c r="E51" s="392"/>
      <c r="F51" s="392"/>
      <c r="G51" s="392"/>
      <c r="H51" s="392"/>
      <c r="I51" s="392"/>
      <c r="J51" s="392"/>
      <c r="K51" s="392"/>
      <c r="L51" s="392"/>
      <c r="M51" s="392"/>
      <c r="N51" s="392"/>
      <c r="O51" s="392"/>
      <c r="P51" s="392"/>
      <c r="Q51" s="392"/>
      <c r="R51" s="102"/>
    </row>
    <row r="52" spans="1:18" ht="13.5" customHeight="1">
      <c r="A52" s="387"/>
      <c r="B52" s="388"/>
      <c r="C52" s="393"/>
      <c r="D52" s="394"/>
      <c r="E52" s="394"/>
      <c r="F52" s="394"/>
      <c r="G52" s="394"/>
      <c r="H52" s="394"/>
      <c r="I52" s="394"/>
      <c r="J52" s="394"/>
      <c r="K52" s="394"/>
      <c r="L52" s="394"/>
      <c r="M52" s="394"/>
      <c r="N52" s="394"/>
      <c r="O52" s="394"/>
      <c r="P52" s="394"/>
      <c r="Q52" s="394"/>
      <c r="R52" s="102"/>
    </row>
    <row r="53" spans="1:18" ht="13.5" customHeight="1">
      <c r="A53" s="387"/>
      <c r="B53" s="388"/>
      <c r="C53" s="393"/>
      <c r="D53" s="394"/>
      <c r="E53" s="394"/>
      <c r="F53" s="394"/>
      <c r="G53" s="394"/>
      <c r="H53" s="394"/>
      <c r="I53" s="394"/>
      <c r="J53" s="394"/>
      <c r="K53" s="394"/>
      <c r="L53" s="394"/>
      <c r="M53" s="394"/>
      <c r="N53" s="394"/>
      <c r="O53" s="394"/>
      <c r="P53" s="394"/>
      <c r="Q53" s="394"/>
      <c r="R53" s="102"/>
    </row>
    <row r="54" spans="1:18" ht="13.5" customHeight="1">
      <c r="A54" s="387"/>
      <c r="B54" s="388"/>
      <c r="C54" s="393"/>
      <c r="D54" s="394"/>
      <c r="E54" s="394"/>
      <c r="F54" s="394"/>
      <c r="G54" s="394"/>
      <c r="H54" s="394"/>
      <c r="I54" s="394"/>
      <c r="J54" s="394"/>
      <c r="K54" s="394"/>
      <c r="L54" s="394"/>
      <c r="M54" s="394"/>
      <c r="N54" s="394"/>
      <c r="O54" s="394"/>
      <c r="P54" s="394"/>
      <c r="Q54" s="394"/>
      <c r="R54" s="102"/>
    </row>
    <row r="55" spans="1:18" ht="13.5" customHeight="1">
      <c r="A55" s="387"/>
      <c r="B55" s="388"/>
      <c r="C55" s="393"/>
      <c r="D55" s="394"/>
      <c r="E55" s="394"/>
      <c r="F55" s="394"/>
      <c r="G55" s="394"/>
      <c r="H55" s="394"/>
      <c r="I55" s="394"/>
      <c r="J55" s="394"/>
      <c r="K55" s="394"/>
      <c r="L55" s="394"/>
      <c r="M55" s="394"/>
      <c r="N55" s="394"/>
      <c r="O55" s="394"/>
      <c r="P55" s="394"/>
      <c r="Q55" s="394"/>
      <c r="R55" s="102"/>
    </row>
    <row r="56" spans="1:18" ht="13.5" customHeight="1">
      <c r="A56" s="389"/>
      <c r="B56" s="390"/>
      <c r="C56" s="395"/>
      <c r="D56" s="396"/>
      <c r="E56" s="396"/>
      <c r="F56" s="396"/>
      <c r="G56" s="396"/>
      <c r="H56" s="396"/>
      <c r="I56" s="396"/>
      <c r="J56" s="396"/>
      <c r="K56" s="396"/>
      <c r="L56" s="396"/>
      <c r="M56" s="396"/>
      <c r="N56" s="396"/>
      <c r="O56" s="396"/>
      <c r="P56" s="396"/>
      <c r="Q56" s="396"/>
      <c r="R56" s="103"/>
    </row>
    <row r="59" spans="1:18">
      <c r="D59" s="13" t="s">
        <v>94</v>
      </c>
      <c r="H59" s="13"/>
      <c r="I59" s="13"/>
      <c r="L59" s="13"/>
      <c r="M59" s="13"/>
    </row>
  </sheetData>
  <sheetProtection selectLockedCells="1"/>
  <mergeCells count="35">
    <mergeCell ref="A51:B56"/>
    <mergeCell ref="C51:Q56"/>
    <mergeCell ref="B30:Q36"/>
    <mergeCell ref="A40:M41"/>
    <mergeCell ref="A45:B47"/>
    <mergeCell ref="C45:C47"/>
    <mergeCell ref="A48:B50"/>
    <mergeCell ref="C48:Q50"/>
    <mergeCell ref="T22:Y27"/>
    <mergeCell ref="A23:C24"/>
    <mergeCell ref="D23:D24"/>
    <mergeCell ref="E23:H24"/>
    <mergeCell ref="I23:I24"/>
    <mergeCell ref="J23:L24"/>
    <mergeCell ref="M23:M24"/>
    <mergeCell ref="A21:C22"/>
    <mergeCell ref="D21:D22"/>
    <mergeCell ref="E21:H22"/>
    <mergeCell ref="I21:I22"/>
    <mergeCell ref="J21:L22"/>
    <mergeCell ref="M21:M22"/>
    <mergeCell ref="M19:M20"/>
    <mergeCell ref="M5:P5"/>
    <mergeCell ref="A8:M9"/>
    <mergeCell ref="A12:Q12"/>
    <mergeCell ref="A14:C14"/>
    <mergeCell ref="A15:C15"/>
    <mergeCell ref="A18:C18"/>
    <mergeCell ref="E18:H18"/>
    <mergeCell ref="J18:L18"/>
    <mergeCell ref="A19:C20"/>
    <mergeCell ref="D19:D20"/>
    <mergeCell ref="E19:H20"/>
    <mergeCell ref="I19:I20"/>
    <mergeCell ref="J19:L20"/>
  </mergeCells>
  <phoneticPr fontId="1"/>
  <pageMargins left="0.90551181102362199" right="0.51181102362204722" top="0.15748031496062992" bottom="0.15748031496062992" header="0" footer="0"/>
  <pageSetup paperSize="9" orientation="portrait" horizontalDpi="4294967293"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2005EB"/>
    <pageSetUpPr fitToPage="1"/>
  </sheetPr>
  <dimension ref="A1:M59"/>
  <sheetViews>
    <sheetView zoomScale="79" zoomScaleNormal="79" zoomScalePageLayoutView="90" workbookViewId="0">
      <selection activeCell="A37" sqref="A37:I38"/>
    </sheetView>
  </sheetViews>
  <sheetFormatPr defaultRowHeight="13.5"/>
  <cols>
    <col min="1" max="1" width="2.75" customWidth="1"/>
    <col min="2" max="2" width="7" customWidth="1"/>
    <col min="3" max="3" width="4.375" customWidth="1"/>
    <col min="7" max="7" width="2.75" customWidth="1"/>
    <col min="8" max="8" width="7" customWidth="1"/>
    <col min="9" max="9" width="4.375" customWidth="1"/>
    <col min="12" max="12" width="10.75" customWidth="1"/>
    <col min="13" max="13" width="2.75" customWidth="1"/>
    <col min="16" max="16" width="3.75" customWidth="1"/>
  </cols>
  <sheetData>
    <row r="1" spans="1:13" ht="30" customHeight="1"/>
    <row r="2" spans="1:13" ht="33" customHeight="1"/>
    <row r="3" spans="1:13">
      <c r="A3" s="107" t="s">
        <v>20</v>
      </c>
      <c r="J3" s="108" t="s">
        <v>21</v>
      </c>
      <c r="L3" s="1" t="s">
        <v>151</v>
      </c>
    </row>
    <row r="4" spans="1:13">
      <c r="A4" s="28"/>
    </row>
    <row r="5" spans="1:13" ht="18.75" customHeight="1">
      <c r="E5" s="10"/>
      <c r="F5" s="7" t="s">
        <v>23</v>
      </c>
      <c r="G5" s="8"/>
      <c r="H5" s="8"/>
      <c r="I5" s="8"/>
      <c r="J5" s="265">
        <f>入力データ!C18</f>
        <v>0</v>
      </c>
      <c r="K5" s="265"/>
      <c r="L5" s="8" t="s">
        <v>24</v>
      </c>
      <c r="M5" s="9"/>
    </row>
    <row r="8" spans="1:13" ht="13.5" customHeight="1">
      <c r="A8" s="297" t="s">
        <v>152</v>
      </c>
      <c r="B8" s="297"/>
      <c r="C8" s="297"/>
      <c r="D8" s="297"/>
      <c r="E8" s="297"/>
      <c r="F8" s="297"/>
      <c r="G8" s="297"/>
      <c r="H8" s="297"/>
      <c r="I8" s="297"/>
    </row>
    <row r="9" spans="1:13" ht="13.5" customHeight="1">
      <c r="A9" s="297"/>
      <c r="B9" s="297"/>
      <c r="C9" s="297"/>
      <c r="D9" s="297"/>
      <c r="E9" s="297"/>
      <c r="F9" s="297"/>
      <c r="G9" s="297"/>
      <c r="H9" s="297"/>
      <c r="I9" s="297"/>
    </row>
    <row r="11" spans="1:13">
      <c r="A11" s="107" t="s">
        <v>153</v>
      </c>
    </row>
    <row r="12" spans="1:13">
      <c r="A12" s="107" t="s">
        <v>154</v>
      </c>
    </row>
    <row r="14" spans="1:13">
      <c r="A14" s="107" t="s">
        <v>155</v>
      </c>
    </row>
    <row r="15" spans="1:13">
      <c r="A15" s="107" t="s">
        <v>156</v>
      </c>
    </row>
    <row r="16" spans="1:13">
      <c r="A16" s="28"/>
    </row>
    <row r="17" spans="1:13">
      <c r="A17" s="106" t="s">
        <v>157</v>
      </c>
    </row>
    <row r="18" spans="1:13">
      <c r="A18" s="106" t="s">
        <v>158</v>
      </c>
    </row>
    <row r="19" spans="1:13">
      <c r="A19" s="106" t="s">
        <v>159</v>
      </c>
    </row>
    <row r="22" spans="1:13">
      <c r="A22" s="28"/>
    </row>
    <row r="23" spans="1:13">
      <c r="A23" s="107" t="s">
        <v>160</v>
      </c>
    </row>
    <row r="24" spans="1:13">
      <c r="A24" s="107" t="s">
        <v>161</v>
      </c>
    </row>
    <row r="25" spans="1:13">
      <c r="A25" s="13"/>
    </row>
    <row r="26" spans="1:13">
      <c r="A26" s="182"/>
      <c r="B26" s="181" t="s">
        <v>162</v>
      </c>
      <c r="C26" s="183"/>
      <c r="D26" s="183"/>
      <c r="E26" s="183"/>
      <c r="F26" s="184"/>
      <c r="G26" s="214"/>
      <c r="H26" s="215" t="s">
        <v>163</v>
      </c>
      <c r="I26" s="186"/>
      <c r="J26" s="216"/>
      <c r="K26" s="216"/>
      <c r="L26" s="216"/>
      <c r="M26" s="217"/>
    </row>
    <row r="27" spans="1:13">
      <c r="A27" s="26"/>
      <c r="B27" s="320" t="e">
        <f>LOOKUP(入力データ!P19,'潜在数　課題・傾向'!A3:A13,'潜在数　課題・傾向'!D3:D13)</f>
        <v>#N/A</v>
      </c>
      <c r="C27" s="320"/>
      <c r="D27" s="320"/>
      <c r="E27" s="320"/>
      <c r="F27" s="431"/>
      <c r="G27" s="27"/>
      <c r="H27" s="434" t="e">
        <f>LOOKUP(入力データ!P19,'潜在数　課題・傾向'!A3:A13,'潜在数　課題・傾向'!E3:E13)</f>
        <v>#N/A</v>
      </c>
      <c r="I27" s="434"/>
      <c r="J27" s="434"/>
      <c r="K27" s="434"/>
      <c r="L27" s="434"/>
      <c r="M27" s="10"/>
    </row>
    <row r="28" spans="1:13">
      <c r="A28" s="27"/>
      <c r="B28" s="230"/>
      <c r="C28" s="230"/>
      <c r="D28" s="230"/>
      <c r="E28" s="230"/>
      <c r="F28" s="432"/>
      <c r="G28" s="27"/>
      <c r="H28" s="434"/>
      <c r="I28" s="434"/>
      <c r="J28" s="434"/>
      <c r="K28" s="434"/>
      <c r="L28" s="434"/>
      <c r="M28" s="10"/>
    </row>
    <row r="29" spans="1:13">
      <c r="A29" s="27"/>
      <c r="B29" s="230"/>
      <c r="C29" s="230"/>
      <c r="D29" s="230"/>
      <c r="E29" s="230"/>
      <c r="F29" s="432"/>
      <c r="G29" s="27"/>
      <c r="H29" s="434"/>
      <c r="I29" s="434"/>
      <c r="J29" s="434"/>
      <c r="K29" s="434"/>
      <c r="L29" s="434"/>
      <c r="M29" s="10"/>
    </row>
    <row r="30" spans="1:13">
      <c r="A30" s="27"/>
      <c r="B30" s="230"/>
      <c r="C30" s="230"/>
      <c r="D30" s="230"/>
      <c r="E30" s="230"/>
      <c r="F30" s="432"/>
      <c r="G30" s="27"/>
      <c r="H30" s="434"/>
      <c r="I30" s="434"/>
      <c r="J30" s="434"/>
      <c r="K30" s="434"/>
      <c r="L30" s="434"/>
      <c r="M30" s="10"/>
    </row>
    <row r="31" spans="1:13">
      <c r="A31" s="27"/>
      <c r="B31" s="230"/>
      <c r="C31" s="230"/>
      <c r="D31" s="230"/>
      <c r="E31" s="230"/>
      <c r="F31" s="432"/>
      <c r="G31" s="27"/>
      <c r="H31" s="434"/>
      <c r="I31" s="434"/>
      <c r="J31" s="434"/>
      <c r="K31" s="434"/>
      <c r="L31" s="434"/>
      <c r="M31" s="10"/>
    </row>
    <row r="32" spans="1:13">
      <c r="A32" s="27"/>
      <c r="B32" s="230"/>
      <c r="C32" s="230"/>
      <c r="D32" s="230"/>
      <c r="E32" s="230"/>
      <c r="F32" s="432"/>
      <c r="G32" s="27"/>
      <c r="H32" s="434"/>
      <c r="I32" s="434"/>
      <c r="J32" s="434"/>
      <c r="K32" s="434"/>
      <c r="L32" s="434"/>
      <c r="M32" s="10"/>
    </row>
    <row r="33" spans="1:13">
      <c r="A33" s="27"/>
      <c r="B33" s="230"/>
      <c r="C33" s="230"/>
      <c r="D33" s="230"/>
      <c r="E33" s="230"/>
      <c r="F33" s="432"/>
      <c r="G33" s="27"/>
      <c r="H33" s="434"/>
      <c r="I33" s="434"/>
      <c r="J33" s="434"/>
      <c r="K33" s="434"/>
      <c r="L33" s="434"/>
      <c r="M33" s="10"/>
    </row>
    <row r="34" spans="1:13">
      <c r="A34" s="27"/>
      <c r="B34" s="230"/>
      <c r="C34" s="230"/>
      <c r="D34" s="230"/>
      <c r="E34" s="230"/>
      <c r="F34" s="432"/>
      <c r="G34" s="27"/>
      <c r="H34" s="434"/>
      <c r="I34" s="434"/>
      <c r="J34" s="434"/>
      <c r="K34" s="434"/>
      <c r="L34" s="434"/>
      <c r="M34" s="10"/>
    </row>
    <row r="35" spans="1:13">
      <c r="A35" s="4"/>
      <c r="B35" s="321"/>
      <c r="C35" s="321"/>
      <c r="D35" s="321"/>
      <c r="E35" s="321"/>
      <c r="F35" s="433"/>
      <c r="G35" s="4"/>
      <c r="H35" s="435"/>
      <c r="I35" s="435"/>
      <c r="J35" s="435"/>
      <c r="K35" s="435"/>
      <c r="L35" s="435"/>
      <c r="M35" s="6"/>
    </row>
    <row r="37" spans="1:13" ht="13.5" customHeight="1">
      <c r="A37" s="297" t="s">
        <v>164</v>
      </c>
      <c r="B37" s="297"/>
      <c r="C37" s="297"/>
      <c r="D37" s="297"/>
      <c r="E37" s="297"/>
      <c r="F37" s="297"/>
      <c r="G37" s="297"/>
      <c r="H37" s="297"/>
      <c r="I37" s="297"/>
    </row>
    <row r="38" spans="1:13" ht="13.5" customHeight="1">
      <c r="A38" s="297"/>
      <c r="B38" s="297"/>
      <c r="C38" s="297"/>
      <c r="D38" s="297"/>
      <c r="E38" s="297"/>
      <c r="F38" s="297"/>
      <c r="G38" s="297"/>
      <c r="H38" s="297"/>
      <c r="I38" s="297"/>
    </row>
    <row r="40" spans="1:13">
      <c r="A40" s="110" t="s">
        <v>165</v>
      </c>
      <c r="C40" s="13"/>
    </row>
    <row r="41" spans="1:13">
      <c r="A41" s="110" t="s">
        <v>166</v>
      </c>
    </row>
    <row r="42" spans="1:13">
      <c r="A42" s="110" t="s">
        <v>167</v>
      </c>
    </row>
    <row r="44" spans="1:13" ht="15.6" customHeight="1">
      <c r="A44" s="169"/>
      <c r="B44" s="170" t="s">
        <v>168</v>
      </c>
      <c r="C44" s="171"/>
      <c r="D44" s="171"/>
      <c r="E44" s="171"/>
      <c r="F44" s="171"/>
      <c r="G44" s="171"/>
      <c r="H44" s="171"/>
      <c r="I44" s="171"/>
      <c r="J44" s="171"/>
      <c r="K44" s="171"/>
      <c r="L44" s="171"/>
      <c r="M44" s="172"/>
    </row>
    <row r="45" spans="1:13" ht="15.6" customHeight="1">
      <c r="A45" s="26"/>
      <c r="B45" s="428" t="s">
        <v>169</v>
      </c>
      <c r="C45" s="428"/>
      <c r="D45" s="428"/>
      <c r="E45" s="428"/>
      <c r="F45" s="428"/>
      <c r="G45" s="428"/>
      <c r="H45" s="428"/>
      <c r="I45" s="428"/>
      <c r="J45" s="428"/>
      <c r="K45" s="428"/>
      <c r="L45" s="428"/>
      <c r="M45" s="3"/>
    </row>
    <row r="46" spans="1:13" ht="15.6" customHeight="1">
      <c r="A46" s="27"/>
      <c r="B46" s="429"/>
      <c r="C46" s="429"/>
      <c r="D46" s="429"/>
      <c r="E46" s="429"/>
      <c r="F46" s="429"/>
      <c r="G46" s="429"/>
      <c r="H46" s="429"/>
      <c r="I46" s="429"/>
      <c r="J46" s="429"/>
      <c r="K46" s="429"/>
      <c r="L46" s="429"/>
      <c r="M46" s="10"/>
    </row>
    <row r="47" spans="1:13" ht="15.6" customHeight="1">
      <c r="A47" s="27"/>
      <c r="B47" s="429"/>
      <c r="C47" s="429"/>
      <c r="D47" s="429"/>
      <c r="E47" s="429"/>
      <c r="F47" s="429"/>
      <c r="G47" s="429"/>
      <c r="H47" s="429"/>
      <c r="I47" s="429"/>
      <c r="J47" s="429"/>
      <c r="K47" s="429"/>
      <c r="L47" s="429"/>
      <c r="M47" s="10"/>
    </row>
    <row r="48" spans="1:13" ht="15.6" customHeight="1">
      <c r="A48" s="27"/>
      <c r="B48" s="429"/>
      <c r="C48" s="429"/>
      <c r="D48" s="429"/>
      <c r="E48" s="429"/>
      <c r="F48" s="429"/>
      <c r="G48" s="429"/>
      <c r="H48" s="429"/>
      <c r="I48" s="429"/>
      <c r="J48" s="429"/>
      <c r="K48" s="429"/>
      <c r="L48" s="429"/>
      <c r="M48" s="10"/>
    </row>
    <row r="49" spans="1:13" ht="15.6" customHeight="1">
      <c r="A49" s="27"/>
      <c r="B49" s="429"/>
      <c r="C49" s="429"/>
      <c r="D49" s="429"/>
      <c r="E49" s="429"/>
      <c r="F49" s="429"/>
      <c r="G49" s="429"/>
      <c r="H49" s="429"/>
      <c r="I49" s="429"/>
      <c r="J49" s="429"/>
      <c r="K49" s="429"/>
      <c r="L49" s="429"/>
      <c r="M49" s="10"/>
    </row>
    <row r="50" spans="1:13" ht="15.6" customHeight="1">
      <c r="A50" s="4"/>
      <c r="B50" s="430"/>
      <c r="C50" s="430"/>
      <c r="D50" s="430"/>
      <c r="E50" s="430"/>
      <c r="F50" s="430"/>
      <c r="G50" s="430"/>
      <c r="H50" s="430"/>
      <c r="I50" s="430"/>
      <c r="J50" s="430"/>
      <c r="K50" s="430"/>
      <c r="L50" s="430"/>
      <c r="M50" s="6"/>
    </row>
    <row r="51" spans="1:13">
      <c r="B51" s="114" t="s">
        <v>170</v>
      </c>
    </row>
    <row r="52" spans="1:13">
      <c r="B52" s="113" t="s">
        <v>171</v>
      </c>
    </row>
    <row r="59" spans="1:13">
      <c r="D59" s="13" t="s">
        <v>172</v>
      </c>
      <c r="F59" s="13"/>
      <c r="H59" s="13"/>
      <c r="J59" s="13"/>
    </row>
  </sheetData>
  <sheetProtection selectLockedCells="1"/>
  <mergeCells count="6">
    <mergeCell ref="B45:L50"/>
    <mergeCell ref="A37:I38"/>
    <mergeCell ref="J5:K5"/>
    <mergeCell ref="B27:F35"/>
    <mergeCell ref="H27:L35"/>
    <mergeCell ref="A8:I9"/>
  </mergeCells>
  <phoneticPr fontId="1"/>
  <pageMargins left="0.90551181102362199" right="0.51181102362204722" top="0.15748031496062992" bottom="0.15748031496062992" header="0" footer="0"/>
  <pageSetup paperSize="9" fitToWidth="0" orientation="portrait" horizontalDpi="4294967293"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0">
    <tabColor rgb="FF2005EB"/>
    <pageSetUpPr fitToPage="1"/>
  </sheetPr>
  <dimension ref="A1:O59"/>
  <sheetViews>
    <sheetView zoomScale="79" zoomScaleNormal="79" zoomScalePageLayoutView="90" workbookViewId="0">
      <selection activeCell="A37" sqref="A37:I38"/>
    </sheetView>
  </sheetViews>
  <sheetFormatPr defaultRowHeight="13.5"/>
  <cols>
    <col min="1" max="1" width="2.75" customWidth="1"/>
    <col min="2" max="2" width="7" customWidth="1"/>
    <col min="3" max="3" width="4.375" customWidth="1"/>
    <col min="7" max="7" width="2.75" customWidth="1"/>
    <col min="8" max="8" width="7" customWidth="1"/>
    <col min="9" max="9" width="4.375" customWidth="1"/>
    <col min="12" max="12" width="10.75" customWidth="1"/>
    <col min="13" max="13" width="2.75" customWidth="1"/>
    <col min="16" max="16" width="3.75" customWidth="1"/>
  </cols>
  <sheetData>
    <row r="1" spans="1:15" ht="30" customHeight="1"/>
    <row r="2" spans="1:15" ht="33" customHeight="1"/>
    <row r="3" spans="1:15">
      <c r="A3" s="107" t="s">
        <v>20</v>
      </c>
      <c r="J3" s="108" t="s">
        <v>21</v>
      </c>
      <c r="L3" s="1" t="s">
        <v>151</v>
      </c>
    </row>
    <row r="4" spans="1:15">
      <c r="A4" s="28"/>
    </row>
    <row r="5" spans="1:15" ht="18.75" customHeight="1">
      <c r="E5" s="10"/>
      <c r="F5" s="7" t="s">
        <v>23</v>
      </c>
      <c r="G5" s="8"/>
      <c r="H5" s="8"/>
      <c r="I5" s="8"/>
      <c r="J5" s="265">
        <f>入力データ!C18</f>
        <v>0</v>
      </c>
      <c r="K5" s="265"/>
      <c r="L5" s="8" t="s">
        <v>24</v>
      </c>
      <c r="M5" s="9"/>
    </row>
    <row r="8" spans="1:15" ht="13.5" customHeight="1">
      <c r="A8" s="297" t="s">
        <v>152</v>
      </c>
      <c r="B8" s="297"/>
      <c r="C8" s="297"/>
      <c r="D8" s="297"/>
      <c r="E8" s="297"/>
      <c r="F8" s="297"/>
      <c r="G8" s="297"/>
      <c r="H8" s="297"/>
      <c r="I8" s="297"/>
    </row>
    <row r="9" spans="1:15" ht="13.5" customHeight="1">
      <c r="A9" s="297"/>
      <c r="B9" s="297"/>
      <c r="C9" s="297"/>
      <c r="D9" s="297"/>
      <c r="E9" s="297"/>
      <c r="F9" s="297"/>
      <c r="G9" s="297"/>
      <c r="H9" s="297"/>
      <c r="I9" s="297"/>
    </row>
    <row r="11" spans="1:15">
      <c r="A11" s="107" t="s">
        <v>153</v>
      </c>
    </row>
    <row r="12" spans="1:15">
      <c r="A12" s="107" t="s">
        <v>154</v>
      </c>
    </row>
    <row r="14" spans="1:15">
      <c r="A14" s="107" t="s">
        <v>155</v>
      </c>
    </row>
    <row r="15" spans="1:15">
      <c r="A15" s="107" t="s">
        <v>156</v>
      </c>
    </row>
    <row r="16" spans="1:15">
      <c r="A16" s="28"/>
      <c r="O16" s="149">
        <v>11</v>
      </c>
    </row>
    <row r="17" spans="1:13">
      <c r="A17" s="106" t="s">
        <v>157</v>
      </c>
    </row>
    <row r="18" spans="1:13">
      <c r="A18" s="106" t="s">
        <v>158</v>
      </c>
    </row>
    <row r="19" spans="1:13">
      <c r="A19" s="106" t="s">
        <v>159</v>
      </c>
    </row>
    <row r="22" spans="1:13">
      <c r="A22" s="28"/>
    </row>
    <row r="23" spans="1:13">
      <c r="A23" s="107" t="s">
        <v>160</v>
      </c>
    </row>
    <row r="24" spans="1:13">
      <c r="A24" s="107" t="s">
        <v>161</v>
      </c>
    </row>
    <row r="25" spans="1:13">
      <c r="A25" s="13"/>
    </row>
    <row r="26" spans="1:13">
      <c r="A26" s="188"/>
      <c r="B26" s="181" t="s">
        <v>162</v>
      </c>
      <c r="C26" s="183"/>
      <c r="D26" s="183"/>
      <c r="E26" s="183"/>
      <c r="F26" s="184"/>
      <c r="G26" s="185"/>
      <c r="H26" s="180" t="s">
        <v>163</v>
      </c>
      <c r="I26" s="186"/>
      <c r="J26" s="186"/>
      <c r="K26" s="186"/>
      <c r="L26" s="186"/>
      <c r="M26" s="187"/>
    </row>
    <row r="27" spans="1:13">
      <c r="A27" s="26"/>
      <c r="B27" s="320" t="str">
        <f>LOOKUP(+O16,'潜在数　課題・傾向'!A3:A13,'潜在数　課題・傾向'!D3:D13)</f>
        <v>・心に不安を感じやすい
・理解されない孤独感を感じる
・虚無感を感じる
・霊感・直観が鋭い　　　　　　　　　　　　　　　　　　　　　　　　　　　　　　　　　　　　　　　　　　　　　　　　　　　　　　　　　　　　　　　　　　　　　　　　　　　　　　　　　　　　　　　　　　　　　　　　　　　　　　　　　　　　　　　　　　　　　　　・気分にムラがある</v>
      </c>
      <c r="C27" s="320"/>
      <c r="D27" s="320"/>
      <c r="E27" s="320"/>
      <c r="F27" s="431"/>
      <c r="G27" s="27"/>
      <c r="H27" s="434" t="str">
        <f>LOOKUP(+O16,'潜在数　課題・傾向'!A3:A13,'潜在数　課題・傾向'!E3:E13)</f>
        <v>・見えない世界・精神的な世界を感じることができる　　　　　　　　　　　　　　　　　　　　　　　　　　　　　　　　　　　　　　　　　　　　　　　　　　　　　　　　　　　　　　　　　　　　　　　　　　　　　　　　　　　　　　　　　　　　　　　　　　・神秘的なものや第六感に従いチャンスを掴むことができる
・自分を活かす道を独自に見出すことができる
・現実的なものを見る力がある
・感性やイメージを自由に表現できる</v>
      </c>
      <c r="I27" s="434"/>
      <c r="J27" s="434"/>
      <c r="K27" s="434"/>
      <c r="L27" s="434"/>
      <c r="M27" s="10"/>
    </row>
    <row r="28" spans="1:13">
      <c r="A28" s="27"/>
      <c r="B28" s="230"/>
      <c r="C28" s="230"/>
      <c r="D28" s="230"/>
      <c r="E28" s="230"/>
      <c r="F28" s="432"/>
      <c r="G28" s="27"/>
      <c r="H28" s="434"/>
      <c r="I28" s="434"/>
      <c r="J28" s="434"/>
      <c r="K28" s="434"/>
      <c r="L28" s="434"/>
      <c r="M28" s="10"/>
    </row>
    <row r="29" spans="1:13">
      <c r="A29" s="27"/>
      <c r="B29" s="230"/>
      <c r="C29" s="230"/>
      <c r="D29" s="230"/>
      <c r="E29" s="230"/>
      <c r="F29" s="432"/>
      <c r="G29" s="27"/>
      <c r="H29" s="434"/>
      <c r="I29" s="434"/>
      <c r="J29" s="434"/>
      <c r="K29" s="434"/>
      <c r="L29" s="434"/>
      <c r="M29" s="10"/>
    </row>
    <row r="30" spans="1:13">
      <c r="A30" s="27"/>
      <c r="B30" s="230"/>
      <c r="C30" s="230"/>
      <c r="D30" s="230"/>
      <c r="E30" s="230"/>
      <c r="F30" s="432"/>
      <c r="G30" s="27"/>
      <c r="H30" s="434"/>
      <c r="I30" s="434"/>
      <c r="J30" s="434"/>
      <c r="K30" s="434"/>
      <c r="L30" s="434"/>
      <c r="M30" s="10"/>
    </row>
    <row r="31" spans="1:13">
      <c r="A31" s="27"/>
      <c r="B31" s="230"/>
      <c r="C31" s="230"/>
      <c r="D31" s="230"/>
      <c r="E31" s="230"/>
      <c r="F31" s="432"/>
      <c r="G31" s="27"/>
      <c r="H31" s="434"/>
      <c r="I31" s="434"/>
      <c r="J31" s="434"/>
      <c r="K31" s="434"/>
      <c r="L31" s="434"/>
      <c r="M31" s="10"/>
    </row>
    <row r="32" spans="1:13">
      <c r="A32" s="27"/>
      <c r="B32" s="230"/>
      <c r="C32" s="230"/>
      <c r="D32" s="230"/>
      <c r="E32" s="230"/>
      <c r="F32" s="432"/>
      <c r="G32" s="27"/>
      <c r="H32" s="434"/>
      <c r="I32" s="434"/>
      <c r="J32" s="434"/>
      <c r="K32" s="434"/>
      <c r="L32" s="434"/>
      <c r="M32" s="10"/>
    </row>
    <row r="33" spans="1:13">
      <c r="A33" s="27"/>
      <c r="B33" s="230"/>
      <c r="C33" s="230"/>
      <c r="D33" s="230"/>
      <c r="E33" s="230"/>
      <c r="F33" s="432"/>
      <c r="G33" s="27"/>
      <c r="H33" s="434"/>
      <c r="I33" s="434"/>
      <c r="J33" s="434"/>
      <c r="K33" s="434"/>
      <c r="L33" s="434"/>
      <c r="M33" s="10"/>
    </row>
    <row r="34" spans="1:13">
      <c r="A34" s="27"/>
      <c r="B34" s="230"/>
      <c r="C34" s="230"/>
      <c r="D34" s="230"/>
      <c r="E34" s="230"/>
      <c r="F34" s="432"/>
      <c r="G34" s="27"/>
      <c r="H34" s="434"/>
      <c r="I34" s="434"/>
      <c r="J34" s="434"/>
      <c r="K34" s="434"/>
      <c r="L34" s="434"/>
      <c r="M34" s="10"/>
    </row>
    <row r="35" spans="1:13">
      <c r="A35" s="4"/>
      <c r="B35" s="321"/>
      <c r="C35" s="321"/>
      <c r="D35" s="321"/>
      <c r="E35" s="321"/>
      <c r="F35" s="433"/>
      <c r="G35" s="4"/>
      <c r="H35" s="435"/>
      <c r="I35" s="435"/>
      <c r="J35" s="435"/>
      <c r="K35" s="435"/>
      <c r="L35" s="435"/>
      <c r="M35" s="6"/>
    </row>
    <row r="37" spans="1:13" ht="13.5" customHeight="1">
      <c r="A37" s="297" t="s">
        <v>164</v>
      </c>
      <c r="B37" s="297"/>
      <c r="C37" s="297"/>
      <c r="D37" s="297"/>
      <c r="E37" s="297"/>
      <c r="F37" s="297"/>
      <c r="G37" s="297"/>
      <c r="H37" s="297"/>
      <c r="I37" s="297"/>
    </row>
    <row r="38" spans="1:13" ht="13.5" customHeight="1">
      <c r="A38" s="297"/>
      <c r="B38" s="297"/>
      <c r="C38" s="297"/>
      <c r="D38" s="297"/>
      <c r="E38" s="297"/>
      <c r="F38" s="297"/>
      <c r="G38" s="297"/>
      <c r="H38" s="297"/>
      <c r="I38" s="297"/>
    </row>
    <row r="40" spans="1:13">
      <c r="A40" s="110" t="s">
        <v>165</v>
      </c>
      <c r="C40" s="13"/>
    </row>
    <row r="41" spans="1:13">
      <c r="A41" s="110" t="s">
        <v>166</v>
      </c>
    </row>
    <row r="42" spans="1:13">
      <c r="A42" s="110" t="s">
        <v>167</v>
      </c>
    </row>
    <row r="44" spans="1:13" ht="15.6" customHeight="1">
      <c r="A44" s="169"/>
      <c r="B44" s="170" t="s">
        <v>168</v>
      </c>
      <c r="C44" s="171"/>
      <c r="D44" s="171"/>
      <c r="E44" s="171"/>
      <c r="F44" s="171"/>
      <c r="G44" s="171"/>
      <c r="H44" s="171"/>
      <c r="I44" s="171"/>
      <c r="J44" s="171"/>
      <c r="K44" s="171"/>
      <c r="L44" s="171"/>
      <c r="M44" s="172"/>
    </row>
    <row r="45" spans="1:13" ht="15.6" customHeight="1">
      <c r="A45" s="26"/>
      <c r="B45" s="428" t="s">
        <v>169</v>
      </c>
      <c r="C45" s="428"/>
      <c r="D45" s="428"/>
      <c r="E45" s="428"/>
      <c r="F45" s="428"/>
      <c r="G45" s="428"/>
      <c r="H45" s="428"/>
      <c r="I45" s="428"/>
      <c r="J45" s="428"/>
      <c r="K45" s="428"/>
      <c r="L45" s="428"/>
      <c r="M45" s="3"/>
    </row>
    <row r="46" spans="1:13" ht="15.6" customHeight="1">
      <c r="A46" s="27"/>
      <c r="B46" s="429"/>
      <c r="C46" s="429"/>
      <c r="D46" s="429"/>
      <c r="E46" s="429"/>
      <c r="F46" s="429"/>
      <c r="G46" s="429"/>
      <c r="H46" s="429"/>
      <c r="I46" s="429"/>
      <c r="J46" s="429"/>
      <c r="K46" s="429"/>
      <c r="L46" s="429"/>
      <c r="M46" s="10"/>
    </row>
    <row r="47" spans="1:13" ht="15.6" customHeight="1">
      <c r="A47" s="27"/>
      <c r="B47" s="429"/>
      <c r="C47" s="429"/>
      <c r="D47" s="429"/>
      <c r="E47" s="429"/>
      <c r="F47" s="429"/>
      <c r="G47" s="429"/>
      <c r="H47" s="429"/>
      <c r="I47" s="429"/>
      <c r="J47" s="429"/>
      <c r="K47" s="429"/>
      <c r="L47" s="429"/>
      <c r="M47" s="10"/>
    </row>
    <row r="48" spans="1:13" ht="15.6" customHeight="1">
      <c r="A48" s="27"/>
      <c r="B48" s="429"/>
      <c r="C48" s="429"/>
      <c r="D48" s="429"/>
      <c r="E48" s="429"/>
      <c r="F48" s="429"/>
      <c r="G48" s="429"/>
      <c r="H48" s="429"/>
      <c r="I48" s="429"/>
      <c r="J48" s="429"/>
      <c r="K48" s="429"/>
      <c r="L48" s="429"/>
      <c r="M48" s="10"/>
    </row>
    <row r="49" spans="1:13" ht="15.6" customHeight="1">
      <c r="A49" s="27"/>
      <c r="B49" s="429"/>
      <c r="C49" s="429"/>
      <c r="D49" s="429"/>
      <c r="E49" s="429"/>
      <c r="F49" s="429"/>
      <c r="G49" s="429"/>
      <c r="H49" s="429"/>
      <c r="I49" s="429"/>
      <c r="J49" s="429"/>
      <c r="K49" s="429"/>
      <c r="L49" s="429"/>
      <c r="M49" s="10"/>
    </row>
    <row r="50" spans="1:13" ht="15.6" customHeight="1">
      <c r="A50" s="4"/>
      <c r="B50" s="430"/>
      <c r="C50" s="430"/>
      <c r="D50" s="430"/>
      <c r="E50" s="430"/>
      <c r="F50" s="430"/>
      <c r="G50" s="430"/>
      <c r="H50" s="430"/>
      <c r="I50" s="430"/>
      <c r="J50" s="430"/>
      <c r="K50" s="430"/>
      <c r="L50" s="430"/>
      <c r="M50" s="6"/>
    </row>
    <row r="51" spans="1:13">
      <c r="B51" s="114" t="s">
        <v>170</v>
      </c>
    </row>
    <row r="52" spans="1:13">
      <c r="B52" s="113" t="s">
        <v>171</v>
      </c>
    </row>
    <row r="59" spans="1:13">
      <c r="D59" s="13" t="s">
        <v>173</v>
      </c>
      <c r="F59" s="13"/>
      <c r="H59" s="13"/>
      <c r="J59" s="13"/>
    </row>
  </sheetData>
  <sheetProtection selectLockedCells="1"/>
  <mergeCells count="6">
    <mergeCell ref="B45:L50"/>
    <mergeCell ref="J5:K5"/>
    <mergeCell ref="A8:I9"/>
    <mergeCell ref="B27:F35"/>
    <mergeCell ref="H27:L35"/>
    <mergeCell ref="A37:I38"/>
  </mergeCells>
  <phoneticPr fontId="1"/>
  <pageMargins left="0.90551181102362199" right="0.51181102362204722" top="0.15748031496062992" bottom="0.15748031496062992" header="0" footer="0"/>
  <pageSetup paperSize="9" fitToWidth="0" orientation="portrait" horizontalDpi="4294967293"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6">
    <tabColor rgb="FF2005EB"/>
    <pageSetUpPr fitToPage="1"/>
  </sheetPr>
  <dimension ref="A1:O59"/>
  <sheetViews>
    <sheetView zoomScale="79" zoomScaleNormal="79" zoomScalePageLayoutView="90" workbookViewId="0">
      <selection activeCell="A37" sqref="A37:I38"/>
    </sheetView>
  </sheetViews>
  <sheetFormatPr defaultRowHeight="13.5"/>
  <cols>
    <col min="1" max="1" width="2.75" customWidth="1"/>
    <col min="2" max="2" width="7" customWidth="1"/>
    <col min="3" max="3" width="4.375" customWidth="1"/>
    <col min="7" max="7" width="2.75" customWidth="1"/>
    <col min="8" max="8" width="7" customWidth="1"/>
    <col min="9" max="9" width="4.375" customWidth="1"/>
    <col min="12" max="12" width="10.75" customWidth="1"/>
    <col min="13" max="13" width="2.75" customWidth="1"/>
    <col min="16" max="16" width="3.75" customWidth="1"/>
  </cols>
  <sheetData>
    <row r="1" spans="1:13" ht="30" customHeight="1"/>
    <row r="2" spans="1:13" ht="33" customHeight="1"/>
    <row r="3" spans="1:13">
      <c r="A3" s="107" t="s">
        <v>20</v>
      </c>
      <c r="J3" s="108" t="s">
        <v>21</v>
      </c>
      <c r="L3" s="1" t="s">
        <v>151</v>
      </c>
    </row>
    <row r="4" spans="1:13">
      <c r="A4" s="28"/>
    </row>
    <row r="5" spans="1:13" ht="18.75" customHeight="1">
      <c r="E5" s="10"/>
      <c r="F5" s="7" t="s">
        <v>23</v>
      </c>
      <c r="G5" s="8"/>
      <c r="H5" s="8"/>
      <c r="I5" s="8"/>
      <c r="J5" s="265">
        <f>入力データ!C18</f>
        <v>0</v>
      </c>
      <c r="K5" s="265"/>
      <c r="L5" s="8" t="s">
        <v>24</v>
      </c>
      <c r="M5" s="9"/>
    </row>
    <row r="8" spans="1:13" ht="13.5" customHeight="1">
      <c r="A8" s="297" t="s">
        <v>152</v>
      </c>
      <c r="B8" s="297"/>
      <c r="C8" s="297"/>
      <c r="D8" s="297"/>
      <c r="E8" s="297"/>
      <c r="F8" s="297"/>
      <c r="G8" s="297"/>
      <c r="H8" s="297"/>
      <c r="I8" s="297"/>
    </row>
    <row r="9" spans="1:13" ht="13.5" customHeight="1">
      <c r="A9" s="297"/>
      <c r="B9" s="297"/>
      <c r="C9" s="297"/>
      <c r="D9" s="297"/>
      <c r="E9" s="297"/>
      <c r="F9" s="297"/>
      <c r="G9" s="297"/>
      <c r="H9" s="297"/>
      <c r="I9" s="297"/>
    </row>
    <row r="11" spans="1:13">
      <c r="A11" s="107" t="s">
        <v>153</v>
      </c>
    </row>
    <row r="12" spans="1:13">
      <c r="A12" s="107" t="s">
        <v>154</v>
      </c>
    </row>
    <row r="14" spans="1:13">
      <c r="A14" s="107" t="s">
        <v>155</v>
      </c>
    </row>
    <row r="15" spans="1:13">
      <c r="A15" s="107" t="s">
        <v>156</v>
      </c>
    </row>
    <row r="16" spans="1:13">
      <c r="A16" s="28"/>
    </row>
    <row r="17" spans="1:15">
      <c r="A17" s="106" t="s">
        <v>157</v>
      </c>
      <c r="O17" s="149">
        <v>22</v>
      </c>
    </row>
    <row r="18" spans="1:15">
      <c r="A18" s="106" t="s">
        <v>158</v>
      </c>
    </row>
    <row r="19" spans="1:15">
      <c r="A19" s="106" t="s">
        <v>159</v>
      </c>
    </row>
    <row r="22" spans="1:15">
      <c r="A22" s="28"/>
    </row>
    <row r="23" spans="1:15">
      <c r="A23" s="107" t="s">
        <v>160</v>
      </c>
    </row>
    <row r="24" spans="1:15">
      <c r="A24" s="107" t="s">
        <v>161</v>
      </c>
    </row>
    <row r="25" spans="1:15">
      <c r="A25" s="13"/>
    </row>
    <row r="26" spans="1:15">
      <c r="A26" s="190"/>
      <c r="B26" s="191" t="s">
        <v>162</v>
      </c>
      <c r="C26" s="192"/>
      <c r="D26" s="192"/>
      <c r="E26" s="192"/>
      <c r="F26" s="189"/>
      <c r="G26" s="185"/>
      <c r="H26" s="180" t="s">
        <v>163</v>
      </c>
      <c r="I26" s="186"/>
      <c r="J26" s="186"/>
      <c r="K26" s="186"/>
      <c r="L26" s="186"/>
      <c r="M26" s="187"/>
    </row>
    <row r="27" spans="1:15">
      <c r="A27" s="26"/>
      <c r="B27" s="320" t="str">
        <f>LOOKUP(O17,'潜在数　課題・傾向'!A3:A13,'潜在数　課題・傾向'!D3:D13)</f>
        <v>・目立つことへの怖れ
・現実的なものに縛られる
・自信喪失・プライドが傷つく
・こだわりが強い
・両親・家族との行き違い</v>
      </c>
      <c r="C27" s="320"/>
      <c r="D27" s="320"/>
      <c r="E27" s="320"/>
      <c r="F27" s="431"/>
      <c r="G27" s="27"/>
      <c r="H27" s="434" t="str">
        <f>LOOKUP(O17,'潜在数　課題・傾向'!A3:A13,'潜在数　課題・傾向'!E3:E13)</f>
        <v>・世の中に変革を起す役割がある
・時間・空間を超えて活動する行動力がある　
・試されても揺るがない信念を持つことができる
・妥協することのない理想・想いがある
・大胆に行動・発信するカリスマ性がある</v>
      </c>
      <c r="I27" s="434"/>
      <c r="J27" s="434"/>
      <c r="K27" s="434"/>
      <c r="L27" s="434"/>
      <c r="M27" s="10"/>
    </row>
    <row r="28" spans="1:15">
      <c r="A28" s="27"/>
      <c r="B28" s="230"/>
      <c r="C28" s="230"/>
      <c r="D28" s="230"/>
      <c r="E28" s="230"/>
      <c r="F28" s="432"/>
      <c r="G28" s="27"/>
      <c r="H28" s="434"/>
      <c r="I28" s="434"/>
      <c r="J28" s="434"/>
      <c r="K28" s="434"/>
      <c r="L28" s="434"/>
      <c r="M28" s="10"/>
    </row>
    <row r="29" spans="1:15">
      <c r="A29" s="27"/>
      <c r="B29" s="230"/>
      <c r="C29" s="230"/>
      <c r="D29" s="230"/>
      <c r="E29" s="230"/>
      <c r="F29" s="432"/>
      <c r="G29" s="27"/>
      <c r="H29" s="434"/>
      <c r="I29" s="434"/>
      <c r="J29" s="434"/>
      <c r="K29" s="434"/>
      <c r="L29" s="434"/>
      <c r="M29" s="10"/>
    </row>
    <row r="30" spans="1:15">
      <c r="A30" s="27"/>
      <c r="B30" s="230"/>
      <c r="C30" s="230"/>
      <c r="D30" s="230"/>
      <c r="E30" s="230"/>
      <c r="F30" s="432"/>
      <c r="G30" s="27"/>
      <c r="H30" s="434"/>
      <c r="I30" s="434"/>
      <c r="J30" s="434"/>
      <c r="K30" s="434"/>
      <c r="L30" s="434"/>
      <c r="M30" s="10"/>
    </row>
    <row r="31" spans="1:15">
      <c r="A31" s="27"/>
      <c r="B31" s="230"/>
      <c r="C31" s="230"/>
      <c r="D31" s="230"/>
      <c r="E31" s="230"/>
      <c r="F31" s="432"/>
      <c r="G31" s="27"/>
      <c r="H31" s="434"/>
      <c r="I31" s="434"/>
      <c r="J31" s="434"/>
      <c r="K31" s="434"/>
      <c r="L31" s="434"/>
      <c r="M31" s="10"/>
    </row>
    <row r="32" spans="1:15">
      <c r="A32" s="27"/>
      <c r="B32" s="230"/>
      <c r="C32" s="230"/>
      <c r="D32" s="230"/>
      <c r="E32" s="230"/>
      <c r="F32" s="432"/>
      <c r="G32" s="27"/>
      <c r="H32" s="434"/>
      <c r="I32" s="434"/>
      <c r="J32" s="434"/>
      <c r="K32" s="434"/>
      <c r="L32" s="434"/>
      <c r="M32" s="10"/>
    </row>
    <row r="33" spans="1:13">
      <c r="A33" s="27"/>
      <c r="B33" s="230"/>
      <c r="C33" s="230"/>
      <c r="D33" s="230"/>
      <c r="E33" s="230"/>
      <c r="F33" s="432"/>
      <c r="G33" s="27"/>
      <c r="H33" s="434"/>
      <c r="I33" s="434"/>
      <c r="J33" s="434"/>
      <c r="K33" s="434"/>
      <c r="L33" s="434"/>
      <c r="M33" s="10"/>
    </row>
    <row r="34" spans="1:13">
      <c r="A34" s="27"/>
      <c r="B34" s="230"/>
      <c r="C34" s="230"/>
      <c r="D34" s="230"/>
      <c r="E34" s="230"/>
      <c r="F34" s="432"/>
      <c r="G34" s="27"/>
      <c r="H34" s="434"/>
      <c r="I34" s="434"/>
      <c r="J34" s="434"/>
      <c r="K34" s="434"/>
      <c r="L34" s="434"/>
      <c r="M34" s="10"/>
    </row>
    <row r="35" spans="1:13">
      <c r="A35" s="4"/>
      <c r="B35" s="321"/>
      <c r="C35" s="321"/>
      <c r="D35" s="321"/>
      <c r="E35" s="321"/>
      <c r="F35" s="433"/>
      <c r="G35" s="4"/>
      <c r="H35" s="435"/>
      <c r="I35" s="435"/>
      <c r="J35" s="435"/>
      <c r="K35" s="435"/>
      <c r="L35" s="435"/>
      <c r="M35" s="6"/>
    </row>
    <row r="37" spans="1:13" ht="13.5" customHeight="1">
      <c r="A37" s="297" t="s">
        <v>164</v>
      </c>
      <c r="B37" s="297"/>
      <c r="C37" s="297"/>
      <c r="D37" s="297"/>
      <c r="E37" s="297"/>
      <c r="F37" s="297"/>
      <c r="G37" s="297"/>
      <c r="H37" s="297"/>
      <c r="I37" s="297"/>
    </row>
    <row r="38" spans="1:13" ht="13.5" customHeight="1">
      <c r="A38" s="297"/>
      <c r="B38" s="297"/>
      <c r="C38" s="297"/>
      <c r="D38" s="297"/>
      <c r="E38" s="297"/>
      <c r="F38" s="297"/>
      <c r="G38" s="297"/>
      <c r="H38" s="297"/>
      <c r="I38" s="297"/>
    </row>
    <row r="40" spans="1:13">
      <c r="A40" s="110" t="s">
        <v>165</v>
      </c>
      <c r="C40" s="13"/>
    </row>
    <row r="41" spans="1:13">
      <c r="A41" s="110" t="s">
        <v>166</v>
      </c>
    </row>
    <row r="42" spans="1:13">
      <c r="A42" s="110" t="s">
        <v>167</v>
      </c>
    </row>
    <row r="44" spans="1:13" ht="15.6" customHeight="1">
      <c r="A44" s="169"/>
      <c r="B44" s="170" t="s">
        <v>168</v>
      </c>
      <c r="C44" s="171"/>
      <c r="D44" s="171"/>
      <c r="E44" s="171"/>
      <c r="F44" s="171"/>
      <c r="G44" s="171"/>
      <c r="H44" s="171"/>
      <c r="I44" s="171"/>
      <c r="J44" s="171"/>
      <c r="K44" s="171"/>
      <c r="L44" s="171"/>
      <c r="M44" s="172"/>
    </row>
    <row r="45" spans="1:13" ht="15.6" customHeight="1">
      <c r="A45" s="26"/>
      <c r="B45" s="428" t="s">
        <v>169</v>
      </c>
      <c r="C45" s="428"/>
      <c r="D45" s="428"/>
      <c r="E45" s="428"/>
      <c r="F45" s="428"/>
      <c r="G45" s="428"/>
      <c r="H45" s="428"/>
      <c r="I45" s="428"/>
      <c r="J45" s="428"/>
      <c r="K45" s="428"/>
      <c r="L45" s="428"/>
      <c r="M45" s="3"/>
    </row>
    <row r="46" spans="1:13" ht="15.6" customHeight="1">
      <c r="A46" s="27"/>
      <c r="B46" s="429"/>
      <c r="C46" s="429"/>
      <c r="D46" s="429"/>
      <c r="E46" s="429"/>
      <c r="F46" s="429"/>
      <c r="G46" s="429"/>
      <c r="H46" s="429"/>
      <c r="I46" s="429"/>
      <c r="J46" s="429"/>
      <c r="K46" s="429"/>
      <c r="L46" s="429"/>
      <c r="M46" s="10"/>
    </row>
    <row r="47" spans="1:13" ht="15.6" customHeight="1">
      <c r="A47" s="27"/>
      <c r="B47" s="429"/>
      <c r="C47" s="429"/>
      <c r="D47" s="429"/>
      <c r="E47" s="429"/>
      <c r="F47" s="429"/>
      <c r="G47" s="429"/>
      <c r="H47" s="429"/>
      <c r="I47" s="429"/>
      <c r="J47" s="429"/>
      <c r="K47" s="429"/>
      <c r="L47" s="429"/>
      <c r="M47" s="10"/>
    </row>
    <row r="48" spans="1:13" ht="15.6" customHeight="1">
      <c r="A48" s="27"/>
      <c r="B48" s="429"/>
      <c r="C48" s="429"/>
      <c r="D48" s="429"/>
      <c r="E48" s="429"/>
      <c r="F48" s="429"/>
      <c r="G48" s="429"/>
      <c r="H48" s="429"/>
      <c r="I48" s="429"/>
      <c r="J48" s="429"/>
      <c r="K48" s="429"/>
      <c r="L48" s="429"/>
      <c r="M48" s="10"/>
    </row>
    <row r="49" spans="1:13" ht="15.6" customHeight="1">
      <c r="A49" s="27"/>
      <c r="B49" s="429"/>
      <c r="C49" s="429"/>
      <c r="D49" s="429"/>
      <c r="E49" s="429"/>
      <c r="F49" s="429"/>
      <c r="G49" s="429"/>
      <c r="H49" s="429"/>
      <c r="I49" s="429"/>
      <c r="J49" s="429"/>
      <c r="K49" s="429"/>
      <c r="L49" s="429"/>
      <c r="M49" s="10"/>
    </row>
    <row r="50" spans="1:13" ht="15.6" customHeight="1">
      <c r="A50" s="4"/>
      <c r="B50" s="430"/>
      <c r="C50" s="430"/>
      <c r="D50" s="430"/>
      <c r="E50" s="430"/>
      <c r="F50" s="430"/>
      <c r="G50" s="430"/>
      <c r="H50" s="430"/>
      <c r="I50" s="430"/>
      <c r="J50" s="430"/>
      <c r="K50" s="430"/>
      <c r="L50" s="430"/>
      <c r="M50" s="6"/>
    </row>
    <row r="51" spans="1:13">
      <c r="B51" s="114" t="s">
        <v>170</v>
      </c>
    </row>
    <row r="52" spans="1:13">
      <c r="B52" s="113" t="s">
        <v>171</v>
      </c>
    </row>
    <row r="59" spans="1:13">
      <c r="D59" s="13" t="s">
        <v>174</v>
      </c>
      <c r="F59" s="13"/>
      <c r="H59" s="13"/>
      <c r="J59" s="13"/>
    </row>
  </sheetData>
  <sheetProtection selectLockedCells="1"/>
  <mergeCells count="6">
    <mergeCell ref="B45:L50"/>
    <mergeCell ref="J5:K5"/>
    <mergeCell ref="A8:I9"/>
    <mergeCell ref="B27:F35"/>
    <mergeCell ref="H27:L35"/>
    <mergeCell ref="A37:I38"/>
  </mergeCells>
  <phoneticPr fontId="1"/>
  <pageMargins left="0.90551181102362199" right="0.51181102362204722" top="0.15748031496062992" bottom="0.15748031496062992" header="0" footer="0"/>
  <pageSetup paperSize="9" fitToWidth="0" orientation="portrait" horizontalDpi="4294967293"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tabColor theme="7" tint="-0.249977111117893"/>
    <pageSetUpPr fitToPage="1"/>
  </sheetPr>
  <dimension ref="A1:U59"/>
  <sheetViews>
    <sheetView zoomScaleNormal="100" workbookViewId="0">
      <selection activeCell="AF40" sqref="AF40"/>
    </sheetView>
  </sheetViews>
  <sheetFormatPr defaultRowHeight="13.5"/>
  <cols>
    <col min="1" max="1" width="2.25" customWidth="1"/>
    <col min="2" max="2" width="4.375" customWidth="1"/>
    <col min="3" max="5" width="2.25" customWidth="1"/>
    <col min="6" max="7" width="3.25" customWidth="1"/>
    <col min="8" max="10" width="2.25" customWidth="1"/>
    <col min="11" max="11" width="2.75" customWidth="1"/>
    <col min="12" max="12" width="1.875" customWidth="1"/>
    <col min="13" max="13" width="3" customWidth="1"/>
    <col min="14" max="14" width="2.25" customWidth="1"/>
    <col min="15" max="15" width="1.75" customWidth="1"/>
    <col min="17" max="17" width="4.875" customWidth="1"/>
    <col min="20" max="20" width="9.375" customWidth="1"/>
    <col min="23" max="23" width="2.75" customWidth="1"/>
  </cols>
  <sheetData>
    <row r="1" spans="1:21" ht="30" customHeight="1"/>
    <row r="2" spans="1:21" ht="39" customHeight="1"/>
    <row r="3" spans="1:21">
      <c r="A3" s="107" t="s">
        <v>20</v>
      </c>
      <c r="B3" s="28"/>
      <c r="S3" s="108" t="s">
        <v>21</v>
      </c>
      <c r="U3" s="1" t="s">
        <v>175</v>
      </c>
    </row>
    <row r="4" spans="1:21" ht="15.75" customHeight="1">
      <c r="A4" s="28"/>
      <c r="B4" s="28"/>
    </row>
    <row r="5" spans="1:21" ht="18.75" customHeight="1">
      <c r="A5" s="28"/>
      <c r="B5" s="28"/>
      <c r="P5" s="7" t="s">
        <v>176</v>
      </c>
      <c r="Q5" s="8"/>
      <c r="R5" s="8"/>
      <c r="S5" s="265">
        <f>入力データ!C18</f>
        <v>0</v>
      </c>
      <c r="T5" s="265"/>
      <c r="U5" s="9" t="s">
        <v>24</v>
      </c>
    </row>
    <row r="7" spans="1:21" ht="13.5" customHeight="1">
      <c r="A7" s="297" t="s">
        <v>177</v>
      </c>
      <c r="B7" s="297"/>
      <c r="C7" s="297"/>
      <c r="D7" s="297"/>
      <c r="E7" s="297"/>
      <c r="F7" s="297"/>
      <c r="G7" s="297"/>
      <c r="H7" s="297"/>
      <c r="I7" s="297"/>
      <c r="J7" s="297"/>
      <c r="K7" s="297"/>
      <c r="L7" s="297"/>
      <c r="M7" s="297"/>
      <c r="N7" s="297"/>
      <c r="O7" s="297"/>
      <c r="P7" s="297"/>
      <c r="Q7" s="297"/>
      <c r="R7" s="297"/>
    </row>
    <row r="8" spans="1:21" ht="13.5" customHeight="1">
      <c r="A8" s="297"/>
      <c r="B8" s="297"/>
      <c r="C8" s="297"/>
      <c r="D8" s="297"/>
      <c r="E8" s="297"/>
      <c r="F8" s="297"/>
      <c r="G8" s="297"/>
      <c r="H8" s="297"/>
      <c r="I8" s="297"/>
      <c r="J8" s="297"/>
      <c r="K8" s="297"/>
      <c r="L8" s="297"/>
      <c r="M8" s="297"/>
      <c r="N8" s="297"/>
      <c r="O8" s="297"/>
      <c r="P8" s="297"/>
      <c r="Q8" s="297"/>
      <c r="R8" s="297"/>
    </row>
    <row r="10" spans="1:21">
      <c r="A10" s="110" t="s">
        <v>178</v>
      </c>
    </row>
    <row r="11" spans="1:21">
      <c r="A11" s="28" t="s">
        <v>179</v>
      </c>
      <c r="F11" s="110"/>
    </row>
    <row r="12" spans="1:21">
      <c r="A12" s="28" t="s">
        <v>180</v>
      </c>
      <c r="F12" s="110"/>
    </row>
    <row r="14" spans="1:21" ht="13.5" customHeight="1">
      <c r="B14" s="13" t="s">
        <v>181</v>
      </c>
      <c r="C14" s="463">
        <v>3</v>
      </c>
      <c r="D14" s="464"/>
      <c r="E14" s="465"/>
      <c r="F14" s="469">
        <v>1</v>
      </c>
      <c r="G14" s="470"/>
      <c r="H14" s="479">
        <v>2</v>
      </c>
      <c r="I14" s="480"/>
      <c r="J14" s="481"/>
      <c r="L14" s="107" t="s">
        <v>182</v>
      </c>
      <c r="M14" s="93"/>
      <c r="N14" s="33"/>
      <c r="O14" s="33"/>
      <c r="P14" s="33"/>
      <c r="Q14" s="33"/>
      <c r="R14" s="33"/>
      <c r="S14" s="33"/>
    </row>
    <row r="15" spans="1:21" ht="13.5" customHeight="1">
      <c r="B15" s="28"/>
      <c r="C15" s="466"/>
      <c r="D15" s="467"/>
      <c r="E15" s="468"/>
      <c r="F15" s="471"/>
      <c r="G15" s="472"/>
      <c r="H15" s="482"/>
      <c r="I15" s="483"/>
      <c r="J15" s="484"/>
      <c r="L15" s="28"/>
      <c r="M15" s="93"/>
      <c r="N15" s="33"/>
      <c r="O15" s="33"/>
      <c r="P15" s="33"/>
      <c r="Q15" s="33"/>
      <c r="R15" s="33"/>
      <c r="S15" s="33"/>
    </row>
    <row r="16" spans="1:21" ht="13.5" customHeight="1">
      <c r="B16" s="28"/>
      <c r="C16" s="116"/>
      <c r="D16" s="117"/>
      <c r="E16" s="118"/>
      <c r="F16" s="30"/>
      <c r="G16" s="31"/>
      <c r="H16" s="485" t="s">
        <v>183</v>
      </c>
      <c r="I16" s="486"/>
      <c r="J16" s="487"/>
      <c r="L16" s="107" t="s">
        <v>184</v>
      </c>
      <c r="M16" s="93"/>
      <c r="N16" s="33"/>
      <c r="O16" s="33"/>
      <c r="P16" s="33"/>
      <c r="Q16" s="33"/>
      <c r="R16" s="33"/>
      <c r="S16" s="33"/>
    </row>
    <row r="17" spans="1:20" ht="13.5" customHeight="1">
      <c r="B17" s="28" t="s">
        <v>185</v>
      </c>
      <c r="C17" s="473">
        <v>5</v>
      </c>
      <c r="D17" s="474"/>
      <c r="E17" s="475"/>
      <c r="F17" s="459"/>
      <c r="G17" s="461"/>
      <c r="H17" s="497">
        <v>4</v>
      </c>
      <c r="I17" s="498"/>
      <c r="J17" s="499"/>
      <c r="L17" s="110" t="s">
        <v>186</v>
      </c>
      <c r="M17" s="93"/>
      <c r="N17" s="33"/>
      <c r="O17" s="33"/>
      <c r="P17" s="33"/>
      <c r="Q17" s="33"/>
      <c r="R17" s="33"/>
      <c r="S17" s="33"/>
    </row>
    <row r="18" spans="1:20" ht="13.5" customHeight="1">
      <c r="B18" s="28"/>
      <c r="C18" s="476"/>
      <c r="D18" s="477"/>
      <c r="E18" s="478"/>
      <c r="F18" s="460"/>
      <c r="G18" s="462"/>
      <c r="H18" s="500"/>
      <c r="I18" s="501"/>
      <c r="J18" s="502"/>
      <c r="L18" s="110" t="s">
        <v>187</v>
      </c>
      <c r="M18" s="28"/>
    </row>
    <row r="19" spans="1:20" ht="13.5" customHeight="1">
      <c r="B19" s="28"/>
      <c r="C19" s="120"/>
      <c r="D19" s="119"/>
      <c r="E19" s="121"/>
      <c r="F19" s="134"/>
      <c r="G19" s="135"/>
      <c r="H19" s="494" t="s">
        <v>188</v>
      </c>
      <c r="I19" s="495"/>
      <c r="J19" s="496"/>
      <c r="L19" s="28"/>
      <c r="M19" s="28"/>
      <c r="N19" s="18"/>
      <c r="O19" s="18"/>
      <c r="P19" s="18"/>
      <c r="Q19" s="18"/>
      <c r="R19" s="18"/>
      <c r="S19" s="18"/>
    </row>
    <row r="20" spans="1:20" ht="13.5" customHeight="1">
      <c r="B20" s="28" t="s">
        <v>189</v>
      </c>
      <c r="C20" s="505">
        <v>8</v>
      </c>
      <c r="D20" s="506"/>
      <c r="E20" s="507"/>
      <c r="F20" s="128"/>
      <c r="G20" s="131"/>
      <c r="H20" s="488">
        <v>7</v>
      </c>
      <c r="I20" s="489"/>
      <c r="J20" s="490"/>
      <c r="L20" s="107" t="s">
        <v>190</v>
      </c>
      <c r="M20" s="93"/>
      <c r="N20" s="32"/>
      <c r="O20" s="32"/>
      <c r="P20" s="32"/>
      <c r="Q20" s="32"/>
      <c r="R20" s="32"/>
      <c r="S20" s="32"/>
    </row>
    <row r="21" spans="1:20" ht="13.5" customHeight="1">
      <c r="C21" s="508"/>
      <c r="D21" s="509"/>
      <c r="E21" s="510"/>
      <c r="F21" s="129"/>
      <c r="G21" s="132"/>
      <c r="H21" s="491"/>
      <c r="I21" s="492"/>
      <c r="J21" s="493"/>
      <c r="L21" s="107" t="s">
        <v>191</v>
      </c>
      <c r="M21" s="93"/>
      <c r="N21" s="32"/>
      <c r="O21" s="32"/>
      <c r="P21" s="32"/>
      <c r="Q21" s="32"/>
      <c r="R21" s="32"/>
      <c r="S21" s="32"/>
    </row>
    <row r="22" spans="1:20" ht="13.5" customHeight="1">
      <c r="C22" s="123"/>
      <c r="D22" s="122"/>
      <c r="E22" s="124"/>
      <c r="F22" s="130"/>
      <c r="G22" s="133"/>
      <c r="H22" s="126"/>
      <c r="I22" s="125"/>
      <c r="J22" s="127"/>
      <c r="L22" s="110" t="s">
        <v>192</v>
      </c>
      <c r="M22" s="93"/>
      <c r="N22" s="32"/>
      <c r="O22" s="32"/>
      <c r="P22" s="32"/>
      <c r="Q22" s="32"/>
      <c r="R22" s="32"/>
      <c r="S22" s="32"/>
    </row>
    <row r="23" spans="1:20">
      <c r="C23" s="13" t="s">
        <v>193</v>
      </c>
      <c r="D23" s="28"/>
      <c r="E23" s="28"/>
      <c r="F23" s="458" t="s">
        <v>194</v>
      </c>
      <c r="G23" s="458"/>
      <c r="H23" s="28" t="s">
        <v>195</v>
      </c>
      <c r="I23" s="28"/>
      <c r="J23" s="28"/>
      <c r="L23" s="110" t="s">
        <v>196</v>
      </c>
      <c r="M23" s="28"/>
      <c r="N23" s="32"/>
      <c r="O23" s="32"/>
      <c r="P23" s="32"/>
      <c r="Q23" s="32"/>
      <c r="R23" s="32"/>
      <c r="S23" s="32"/>
      <c r="T23" s="32"/>
    </row>
    <row r="24" spans="1:20">
      <c r="C24" s="29"/>
      <c r="D24" s="13"/>
      <c r="E24" s="13"/>
      <c r="F24" s="13"/>
      <c r="G24" s="13"/>
      <c r="H24" s="29"/>
      <c r="I24" s="13"/>
      <c r="L24" s="110" t="s">
        <v>197</v>
      </c>
      <c r="M24" s="28"/>
    </row>
    <row r="27" spans="1:20" ht="13.5" customHeight="1">
      <c r="A27" s="297" t="s">
        <v>198</v>
      </c>
      <c r="B27" s="297"/>
      <c r="C27" s="297"/>
      <c r="D27" s="297"/>
      <c r="E27" s="297"/>
      <c r="F27" s="297"/>
      <c r="G27" s="297"/>
      <c r="H27" s="297"/>
      <c r="I27" s="297"/>
      <c r="J27" s="297"/>
      <c r="K27" s="297"/>
      <c r="L27" s="297"/>
      <c r="M27" s="297"/>
      <c r="N27" s="297"/>
      <c r="O27" s="297"/>
      <c r="P27" s="297"/>
      <c r="Q27" s="297"/>
      <c r="R27" s="437" t="s">
        <v>199</v>
      </c>
      <c r="S27" s="438"/>
      <c r="T27" s="438"/>
    </row>
    <row r="28" spans="1:20" ht="13.5" customHeight="1">
      <c r="A28" s="297"/>
      <c r="B28" s="297"/>
      <c r="C28" s="297"/>
      <c r="D28" s="297"/>
      <c r="E28" s="297"/>
      <c r="F28" s="297"/>
      <c r="G28" s="297"/>
      <c r="H28" s="297"/>
      <c r="I28" s="297"/>
      <c r="J28" s="297"/>
      <c r="K28" s="297"/>
      <c r="L28" s="297"/>
      <c r="M28" s="297"/>
      <c r="N28" s="297"/>
      <c r="O28" s="297"/>
      <c r="P28" s="297"/>
      <c r="Q28" s="297"/>
      <c r="R28" s="438"/>
      <c r="S28" s="438"/>
      <c r="T28" s="438"/>
    </row>
    <row r="29" spans="1:20" ht="13.5" customHeight="1"/>
    <row r="30" spans="1:20" ht="27" customHeight="1">
      <c r="A30" s="503" t="s">
        <v>41</v>
      </c>
      <c r="B30" s="503"/>
      <c r="C30" s="503"/>
      <c r="D30" s="503"/>
      <c r="E30" s="503"/>
      <c r="F30" s="503"/>
      <c r="G30" s="521" t="s">
        <v>6</v>
      </c>
      <c r="H30" s="522"/>
      <c r="I30" s="522"/>
      <c r="J30" s="522"/>
      <c r="K30" s="448" t="str">
        <f>'1'!N29</f>
        <v/>
      </c>
      <c r="L30" s="448"/>
      <c r="M30" s="88"/>
      <c r="N30" s="89"/>
      <c r="O30" s="518" t="s">
        <v>200</v>
      </c>
      <c r="P30" s="519"/>
      <c r="Q30" s="519"/>
      <c r="R30" s="519"/>
      <c r="S30" s="519"/>
      <c r="T30" s="520"/>
    </row>
    <row r="31" spans="1:20">
      <c r="A31" s="504" t="s">
        <v>201</v>
      </c>
      <c r="B31" s="504"/>
      <c r="C31" s="504"/>
      <c r="D31" s="504"/>
      <c r="E31" s="504"/>
      <c r="F31" s="504"/>
      <c r="G31" s="449" t="e">
        <f>LOOKUP(K30,ｶﾗｰﾁｬｰﾄ・適職!A3:A14,ｶﾗｰﾁｬｰﾄ・適職!B3:B14)</f>
        <v>#N/A</v>
      </c>
      <c r="H31" s="450"/>
      <c r="I31" s="450"/>
      <c r="J31" s="450"/>
      <c r="K31" s="450"/>
      <c r="L31" s="450"/>
      <c r="M31" s="450"/>
      <c r="N31" s="451"/>
      <c r="O31" s="511" t="e">
        <f>LOOKUP(K30,ｶﾗｰﾁｬｰﾄ・適職!A3:A14,ｶﾗｰﾁｬｰﾄ・適職!C3:C14)</f>
        <v>#N/A</v>
      </c>
      <c r="P31" s="512"/>
      <c r="Q31" s="512"/>
      <c r="R31" s="512"/>
      <c r="S31" s="512"/>
      <c r="T31" s="513"/>
    </row>
    <row r="32" spans="1:20">
      <c r="A32" s="504"/>
      <c r="B32" s="504"/>
      <c r="C32" s="504"/>
      <c r="D32" s="504"/>
      <c r="E32" s="504"/>
      <c r="F32" s="504"/>
      <c r="G32" s="449"/>
      <c r="H32" s="450"/>
      <c r="I32" s="450"/>
      <c r="J32" s="450"/>
      <c r="K32" s="450"/>
      <c r="L32" s="450"/>
      <c r="M32" s="450"/>
      <c r="N32" s="451"/>
      <c r="O32" s="514"/>
      <c r="P32" s="515"/>
      <c r="Q32" s="515"/>
      <c r="R32" s="515"/>
      <c r="S32" s="515"/>
      <c r="T32" s="516"/>
    </row>
    <row r="33" spans="1:20">
      <c r="A33" s="504"/>
      <c r="B33" s="504"/>
      <c r="C33" s="504"/>
      <c r="D33" s="504"/>
      <c r="E33" s="504"/>
      <c r="F33" s="504"/>
      <c r="G33" s="452"/>
      <c r="H33" s="453"/>
      <c r="I33" s="453"/>
      <c r="J33" s="453"/>
      <c r="K33" s="453"/>
      <c r="L33" s="453"/>
      <c r="M33" s="453"/>
      <c r="N33" s="454"/>
      <c r="O33" s="441"/>
      <c r="P33" s="517"/>
      <c r="Q33" s="517"/>
      <c r="R33" s="517"/>
      <c r="S33" s="517"/>
      <c r="T33" s="439"/>
    </row>
    <row r="34" spans="1:20">
      <c r="A34" s="445" t="s">
        <v>202</v>
      </c>
      <c r="B34" s="445"/>
      <c r="C34" s="445"/>
      <c r="D34" s="445"/>
      <c r="E34" s="445"/>
      <c r="F34" s="445"/>
      <c r="G34" s="455" t="e">
        <f>LOOKUP(K30,ｶﾗｰﾁｬｰﾄ・適職!A3:A14,ｶﾗｰﾁｬｰﾄ・適職!D3:D14)</f>
        <v>#N/A</v>
      </c>
      <c r="H34" s="456"/>
      <c r="I34" s="456"/>
      <c r="J34" s="456"/>
      <c r="K34" s="456"/>
      <c r="L34" s="456"/>
      <c r="M34" s="456"/>
      <c r="N34" s="457"/>
      <c r="O34" s="436" t="e">
        <f>LOOKUP(K30,ｶﾗｰﾁｬｰﾄ・適職!A3:A14,ｶﾗｰﾁｬｰﾄ・適職!E3:E14)</f>
        <v>#N/A</v>
      </c>
      <c r="P34" s="436"/>
      <c r="Q34" s="436"/>
      <c r="R34" s="436"/>
      <c r="S34" s="436"/>
      <c r="T34" s="436"/>
    </row>
    <row r="35" spans="1:20">
      <c r="A35" s="445"/>
      <c r="B35" s="445"/>
      <c r="C35" s="445"/>
      <c r="D35" s="445"/>
      <c r="E35" s="445"/>
      <c r="F35" s="445"/>
      <c r="G35" s="449"/>
      <c r="H35" s="450"/>
      <c r="I35" s="450"/>
      <c r="J35" s="450"/>
      <c r="K35" s="450"/>
      <c r="L35" s="450"/>
      <c r="M35" s="450"/>
      <c r="N35" s="451"/>
      <c r="O35" s="436"/>
      <c r="P35" s="436"/>
      <c r="Q35" s="436"/>
      <c r="R35" s="436"/>
      <c r="S35" s="436"/>
      <c r="T35" s="436"/>
    </row>
    <row r="36" spans="1:20">
      <c r="A36" s="445"/>
      <c r="B36" s="445"/>
      <c r="C36" s="445"/>
      <c r="D36" s="445"/>
      <c r="E36" s="445"/>
      <c r="F36" s="445"/>
      <c r="G36" s="452"/>
      <c r="H36" s="453"/>
      <c r="I36" s="453"/>
      <c r="J36" s="453"/>
      <c r="K36" s="453"/>
      <c r="L36" s="453"/>
      <c r="M36" s="453"/>
      <c r="N36" s="454"/>
      <c r="O36" s="436"/>
      <c r="P36" s="436"/>
      <c r="Q36" s="436"/>
      <c r="R36" s="436"/>
      <c r="S36" s="436"/>
      <c r="T36" s="436"/>
    </row>
    <row r="37" spans="1:20">
      <c r="A37" s="446" t="s">
        <v>203</v>
      </c>
      <c r="B37" s="446"/>
      <c r="C37" s="446"/>
      <c r="D37" s="446"/>
      <c r="E37" s="446"/>
      <c r="F37" s="446"/>
      <c r="G37" s="455" t="e">
        <f>LOOKUP(K30,ｶﾗｰﾁｬｰﾄ・適職!A17:A28,ｶﾗｰﾁｬｰﾄ・適職!B17:B28)</f>
        <v>#N/A</v>
      </c>
      <c r="H37" s="456"/>
      <c r="I37" s="456"/>
      <c r="J37" s="456"/>
      <c r="K37" s="456"/>
      <c r="L37" s="456"/>
      <c r="M37" s="456"/>
      <c r="N37" s="457"/>
      <c r="O37" s="436" t="e">
        <f>LOOKUP(K30,ｶﾗｰﾁｬｰﾄ・適職!A17:A28,ｶﾗｰﾁｬｰﾄ・適職!C17:C28)</f>
        <v>#N/A</v>
      </c>
      <c r="P37" s="436"/>
      <c r="Q37" s="436"/>
      <c r="R37" s="436"/>
      <c r="S37" s="436"/>
      <c r="T37" s="436"/>
    </row>
    <row r="38" spans="1:20">
      <c r="A38" s="446"/>
      <c r="B38" s="446"/>
      <c r="C38" s="446"/>
      <c r="D38" s="446"/>
      <c r="E38" s="446"/>
      <c r="F38" s="446"/>
      <c r="G38" s="449"/>
      <c r="H38" s="450"/>
      <c r="I38" s="450"/>
      <c r="J38" s="450"/>
      <c r="K38" s="450"/>
      <c r="L38" s="450"/>
      <c r="M38" s="450"/>
      <c r="N38" s="451"/>
      <c r="O38" s="436"/>
      <c r="P38" s="436"/>
      <c r="Q38" s="436"/>
      <c r="R38" s="436"/>
      <c r="S38" s="436"/>
      <c r="T38" s="436"/>
    </row>
    <row r="39" spans="1:20">
      <c r="A39" s="446"/>
      <c r="B39" s="446"/>
      <c r="C39" s="446"/>
      <c r="D39" s="446"/>
      <c r="E39" s="446"/>
      <c r="F39" s="446"/>
      <c r="G39" s="452"/>
      <c r="H39" s="453"/>
      <c r="I39" s="453"/>
      <c r="J39" s="453"/>
      <c r="K39" s="453"/>
      <c r="L39" s="453"/>
      <c r="M39" s="453"/>
      <c r="N39" s="454"/>
      <c r="O39" s="436"/>
      <c r="P39" s="436"/>
      <c r="Q39" s="436"/>
      <c r="R39" s="436"/>
      <c r="S39" s="436"/>
      <c r="T39" s="436"/>
    </row>
    <row r="40" spans="1:20">
      <c r="A40" s="447" t="s">
        <v>204</v>
      </c>
      <c r="B40" s="447"/>
      <c r="C40" s="447"/>
      <c r="D40" s="447"/>
      <c r="E40" s="447"/>
      <c r="F40" s="447"/>
      <c r="G40" s="455" t="e">
        <f>LOOKUP(K30,ｶﾗｰﾁｬｰﾄ・適職!A17:A28,ｶﾗｰﾁｬｰﾄ・適職!D17:D28)</f>
        <v>#N/A</v>
      </c>
      <c r="H40" s="456"/>
      <c r="I40" s="456"/>
      <c r="J40" s="456"/>
      <c r="K40" s="456"/>
      <c r="L40" s="456"/>
      <c r="M40" s="456"/>
      <c r="N40" s="457"/>
      <c r="O40" s="436" t="e">
        <f>LOOKUP(K30,ｶﾗｰﾁｬｰﾄ・適職!A17:A28,ｶﾗｰﾁｬｰﾄ・適職!E17:E28)</f>
        <v>#N/A</v>
      </c>
      <c r="P40" s="436"/>
      <c r="Q40" s="436"/>
      <c r="R40" s="436"/>
      <c r="S40" s="436"/>
      <c r="T40" s="436"/>
    </row>
    <row r="41" spans="1:20">
      <c r="A41" s="447"/>
      <c r="B41" s="447"/>
      <c r="C41" s="447"/>
      <c r="D41" s="447"/>
      <c r="E41" s="447"/>
      <c r="F41" s="447"/>
      <c r="G41" s="449"/>
      <c r="H41" s="450"/>
      <c r="I41" s="450"/>
      <c r="J41" s="450"/>
      <c r="K41" s="450"/>
      <c r="L41" s="450"/>
      <c r="M41" s="450"/>
      <c r="N41" s="451"/>
      <c r="O41" s="436"/>
      <c r="P41" s="436"/>
      <c r="Q41" s="436"/>
      <c r="R41" s="436"/>
      <c r="S41" s="436"/>
      <c r="T41" s="436"/>
    </row>
    <row r="42" spans="1:20">
      <c r="A42" s="447"/>
      <c r="B42" s="447"/>
      <c r="C42" s="447"/>
      <c r="D42" s="447"/>
      <c r="E42" s="447"/>
      <c r="F42" s="447"/>
      <c r="G42" s="452"/>
      <c r="H42" s="453"/>
      <c r="I42" s="453"/>
      <c r="J42" s="453"/>
      <c r="K42" s="453"/>
      <c r="L42" s="453"/>
      <c r="M42" s="453"/>
      <c r="N42" s="454"/>
      <c r="O42" s="436"/>
      <c r="P42" s="436"/>
      <c r="Q42" s="436"/>
      <c r="R42" s="436"/>
      <c r="S42" s="436"/>
      <c r="T42" s="436"/>
    </row>
    <row r="45" spans="1:20" ht="13.5" customHeight="1">
      <c r="B45" s="37"/>
    </row>
    <row r="46" spans="1:20">
      <c r="A46" s="241" t="s">
        <v>205</v>
      </c>
      <c r="B46" s="241"/>
      <c r="C46" s="241"/>
      <c r="D46" s="241"/>
      <c r="E46" s="241"/>
      <c r="F46" s="241"/>
      <c r="G46" s="241"/>
      <c r="H46" s="241"/>
      <c r="I46" s="241"/>
      <c r="J46" s="241"/>
      <c r="K46" s="241"/>
      <c r="L46" s="241"/>
      <c r="M46" s="241"/>
      <c r="N46" s="241"/>
    </row>
    <row r="47" spans="1:20" ht="13.5" customHeight="1">
      <c r="A47" s="27"/>
      <c r="B47" s="230" t="e">
        <f>LOOKUP(K30,ｶﾗｰﾁｬｰﾄ・適職!A3:A14,ｶﾗｰﾁｬｰﾄ・適職!F3:F14)</f>
        <v>#N/A</v>
      </c>
      <c r="C47" s="230"/>
      <c r="D47" s="230"/>
      <c r="E47" s="230"/>
      <c r="F47" s="230"/>
      <c r="G47" s="230"/>
      <c r="H47" s="230"/>
      <c r="I47" s="230"/>
      <c r="J47" s="230"/>
      <c r="K47" s="230"/>
      <c r="L47" s="230"/>
      <c r="M47" s="230"/>
      <c r="N47" s="84"/>
      <c r="P47" s="13" t="s">
        <v>206</v>
      </c>
    </row>
    <row r="48" spans="1:20">
      <c r="A48" s="83"/>
      <c r="B48" s="230"/>
      <c r="C48" s="230"/>
      <c r="D48" s="230"/>
      <c r="E48" s="230"/>
      <c r="F48" s="230"/>
      <c r="G48" s="230"/>
      <c r="H48" s="230"/>
      <c r="I48" s="230"/>
      <c r="J48" s="230"/>
      <c r="K48" s="230"/>
      <c r="L48" s="230"/>
      <c r="M48" s="230"/>
      <c r="N48" s="84"/>
      <c r="P48" s="28" t="s">
        <v>207</v>
      </c>
    </row>
    <row r="49" spans="1:16">
      <c r="A49" s="83"/>
      <c r="B49" s="230"/>
      <c r="C49" s="230"/>
      <c r="D49" s="230"/>
      <c r="E49" s="230"/>
      <c r="F49" s="230"/>
      <c r="G49" s="230"/>
      <c r="H49" s="230"/>
      <c r="I49" s="230"/>
      <c r="J49" s="230"/>
      <c r="K49" s="230"/>
      <c r="L49" s="230"/>
      <c r="M49" s="230"/>
      <c r="N49" s="84"/>
      <c r="P49" s="28" t="s">
        <v>208</v>
      </c>
    </row>
    <row r="50" spans="1:16">
      <c r="A50" s="92"/>
      <c r="B50" s="221"/>
      <c r="C50" s="221"/>
      <c r="D50" s="221"/>
      <c r="E50" s="221"/>
      <c r="F50" s="221"/>
      <c r="G50" s="221"/>
      <c r="H50" s="221"/>
      <c r="I50" s="221"/>
      <c r="J50" s="221"/>
      <c r="K50" s="221"/>
      <c r="L50" s="221"/>
      <c r="M50" s="221"/>
      <c r="N50" s="92"/>
      <c r="P50" s="28"/>
    </row>
    <row r="51" spans="1:16">
      <c r="A51" s="241" t="s">
        <v>209</v>
      </c>
      <c r="B51" s="241"/>
      <c r="C51" s="241"/>
      <c r="D51" s="241"/>
      <c r="E51" s="241"/>
      <c r="F51" s="241"/>
      <c r="G51" s="241"/>
      <c r="H51" s="241"/>
      <c r="I51" s="241"/>
      <c r="J51" s="241"/>
      <c r="K51" s="241"/>
      <c r="L51" s="241"/>
      <c r="M51" s="241"/>
      <c r="N51" s="241"/>
      <c r="P51" s="28"/>
    </row>
    <row r="52" spans="1:16">
      <c r="A52" s="27"/>
      <c r="B52" s="439" t="e">
        <f>LOOKUP(K30,ｶﾗｰﾁｬｰﾄ・適職!A17:A28,ｶﾗｰﾁｬｰﾄ・適職!F17:F28)</f>
        <v>#N/A</v>
      </c>
      <c r="C52" s="440"/>
      <c r="D52" s="440"/>
      <c r="E52" s="440"/>
      <c r="F52" s="440"/>
      <c r="G52" s="440"/>
      <c r="H52" s="440"/>
      <c r="I52" s="440"/>
      <c r="J52" s="440"/>
      <c r="K52" s="440"/>
      <c r="L52" s="440"/>
      <c r="M52" s="441"/>
      <c r="N52" s="10"/>
      <c r="P52" s="28" t="s">
        <v>210</v>
      </c>
    </row>
    <row r="53" spans="1:16">
      <c r="A53" s="27"/>
      <c r="B53" s="442"/>
      <c r="C53" s="443"/>
      <c r="D53" s="443"/>
      <c r="E53" s="443"/>
      <c r="F53" s="443"/>
      <c r="G53" s="443"/>
      <c r="H53" s="443"/>
      <c r="I53" s="443"/>
      <c r="J53" s="443"/>
      <c r="K53" s="443"/>
      <c r="L53" s="443"/>
      <c r="M53" s="444"/>
      <c r="N53" s="10"/>
      <c r="P53" s="28" t="s">
        <v>211</v>
      </c>
    </row>
    <row r="54" spans="1:16">
      <c r="A54" s="4"/>
      <c r="B54" s="442"/>
      <c r="C54" s="443"/>
      <c r="D54" s="443"/>
      <c r="E54" s="443"/>
      <c r="F54" s="443"/>
      <c r="G54" s="443"/>
      <c r="H54" s="443"/>
      <c r="I54" s="443"/>
      <c r="J54" s="443"/>
      <c r="K54" s="443"/>
      <c r="L54" s="443"/>
      <c r="M54" s="444"/>
      <c r="N54" s="6"/>
      <c r="P54" s="28" t="s">
        <v>212</v>
      </c>
    </row>
    <row r="59" spans="1:16" ht="30" customHeight="1"/>
  </sheetData>
  <sheetProtection selectLockedCells="1"/>
  <mergeCells count="36">
    <mergeCell ref="A27:Q28"/>
    <mergeCell ref="A30:F30"/>
    <mergeCell ref="A31:F33"/>
    <mergeCell ref="C20:E21"/>
    <mergeCell ref="O31:T33"/>
    <mergeCell ref="O30:T30"/>
    <mergeCell ref="G30:J30"/>
    <mergeCell ref="S5:T5"/>
    <mergeCell ref="F23:G23"/>
    <mergeCell ref="F17:F18"/>
    <mergeCell ref="G17:G18"/>
    <mergeCell ref="C14:E15"/>
    <mergeCell ref="F14:G15"/>
    <mergeCell ref="C17:E18"/>
    <mergeCell ref="H14:J15"/>
    <mergeCell ref="H16:J16"/>
    <mergeCell ref="H20:J21"/>
    <mergeCell ref="H19:J19"/>
    <mergeCell ref="H17:J18"/>
    <mergeCell ref="A7:R8"/>
    <mergeCell ref="O34:T36"/>
    <mergeCell ref="R27:T28"/>
    <mergeCell ref="B52:M54"/>
    <mergeCell ref="O37:T39"/>
    <mergeCell ref="O40:T42"/>
    <mergeCell ref="A46:N46"/>
    <mergeCell ref="A51:N51"/>
    <mergeCell ref="B47:M49"/>
    <mergeCell ref="A34:F36"/>
    <mergeCell ref="A37:F39"/>
    <mergeCell ref="A40:F42"/>
    <mergeCell ref="K30:L30"/>
    <mergeCell ref="G31:N33"/>
    <mergeCell ref="G34:N36"/>
    <mergeCell ref="G37:N39"/>
    <mergeCell ref="G40:N42"/>
  </mergeCells>
  <phoneticPr fontId="1"/>
  <pageMargins left="0.9055118110236221" right="0" top="0.15748031496062992" bottom="0.15748031496062992" header="0" footer="0"/>
  <pageSetup paperSize="9" fitToWidth="0" orientation="portrait" horizontalDpi="4294967293" r:id="rId1"/>
  <ignoredErrors>
    <ignoredError sqref="H16 H19" numberStoredAsText="1"/>
  </ignoredError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21F3B-1179-4758-B6AD-D26827BC2812}">
  <dimension ref="A1"/>
  <sheetViews>
    <sheetView workbookViewId="0">
      <selection activeCell="G39" sqref="G39"/>
    </sheetView>
  </sheetViews>
  <sheetFormatPr defaultRowHeight="13.5"/>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5">
    <tabColor theme="7" tint="-0.249977111117893"/>
    <pageSetUpPr fitToPage="1"/>
  </sheetPr>
  <dimension ref="A1:U59"/>
  <sheetViews>
    <sheetView topLeftCell="B1" zoomScale="75" zoomScaleNormal="75" workbookViewId="0">
      <selection activeCell="B21" sqref="B21"/>
    </sheetView>
  </sheetViews>
  <sheetFormatPr defaultRowHeight="13.5"/>
  <cols>
    <col min="1" max="1" width="2.25" customWidth="1"/>
    <col min="2" max="2" width="4.375" customWidth="1"/>
    <col min="3" max="5" width="2.25" customWidth="1"/>
    <col min="6" max="7" width="3.25" customWidth="1"/>
    <col min="8" max="10" width="2.25" customWidth="1"/>
    <col min="11" max="11" width="2.75" customWidth="1"/>
    <col min="12" max="12" width="1.875" customWidth="1"/>
    <col min="13" max="13" width="3" customWidth="1"/>
    <col min="14" max="14" width="2.25" customWidth="1"/>
    <col min="15" max="15" width="1.75" customWidth="1"/>
    <col min="17" max="17" width="4.875" customWidth="1"/>
    <col min="20" max="20" width="9.375" customWidth="1"/>
    <col min="23" max="23" width="2.75" customWidth="1"/>
  </cols>
  <sheetData>
    <row r="1" spans="1:21" ht="30" customHeight="1"/>
    <row r="2" spans="1:21" ht="39" customHeight="1"/>
    <row r="3" spans="1:21">
      <c r="A3" s="107" t="s">
        <v>20</v>
      </c>
      <c r="B3" s="28"/>
      <c r="S3" s="108" t="s">
        <v>21</v>
      </c>
      <c r="U3" s="1" t="s">
        <v>175</v>
      </c>
    </row>
    <row r="4" spans="1:21" ht="15.75" customHeight="1">
      <c r="A4" s="28"/>
      <c r="B4" s="28"/>
    </row>
    <row r="5" spans="1:21" ht="18.75" customHeight="1">
      <c r="A5" s="28"/>
      <c r="B5" s="28"/>
      <c r="P5" s="7" t="s">
        <v>176</v>
      </c>
      <c r="Q5" s="8"/>
      <c r="R5" s="8"/>
      <c r="S5" s="265">
        <f>入力データ!C18</f>
        <v>0</v>
      </c>
      <c r="T5" s="265"/>
      <c r="U5" s="9" t="s">
        <v>24</v>
      </c>
    </row>
    <row r="7" spans="1:21" ht="13.5" customHeight="1">
      <c r="A7" s="297" t="s">
        <v>177</v>
      </c>
      <c r="B7" s="297"/>
      <c r="C7" s="297"/>
      <c r="D7" s="297"/>
      <c r="E7" s="297"/>
      <c r="F7" s="297"/>
      <c r="G7" s="297"/>
      <c r="H7" s="297"/>
      <c r="I7" s="297"/>
      <c r="J7" s="297"/>
      <c r="K7" s="297"/>
      <c r="L7" s="297"/>
      <c r="M7" s="297"/>
      <c r="N7" s="297"/>
      <c r="O7" s="297"/>
      <c r="P7" s="297"/>
      <c r="Q7" s="297"/>
      <c r="R7" s="297"/>
    </row>
    <row r="8" spans="1:21" ht="13.5" customHeight="1">
      <c r="A8" s="297"/>
      <c r="B8" s="297"/>
      <c r="C8" s="297"/>
      <c r="D8" s="297"/>
      <c r="E8" s="297"/>
      <c r="F8" s="297"/>
      <c r="G8" s="297"/>
      <c r="H8" s="297"/>
      <c r="I8" s="297"/>
      <c r="J8" s="297"/>
      <c r="K8" s="297"/>
      <c r="L8" s="297"/>
      <c r="M8" s="297"/>
      <c r="N8" s="297"/>
      <c r="O8" s="297"/>
      <c r="P8" s="297"/>
      <c r="Q8" s="297"/>
      <c r="R8" s="297"/>
    </row>
    <row r="10" spans="1:21">
      <c r="A10" s="110" t="s">
        <v>178</v>
      </c>
    </row>
    <row r="11" spans="1:21">
      <c r="A11" s="28" t="s">
        <v>179</v>
      </c>
      <c r="F11" s="110"/>
    </row>
    <row r="12" spans="1:21">
      <c r="A12" s="28" t="s">
        <v>180</v>
      </c>
      <c r="F12" s="110"/>
    </row>
    <row r="14" spans="1:21" ht="13.5" customHeight="1">
      <c r="B14" s="13" t="s">
        <v>181</v>
      </c>
      <c r="C14" s="523">
        <v>3</v>
      </c>
      <c r="D14" s="524"/>
      <c r="E14" s="525"/>
      <c r="F14" s="469">
        <v>1</v>
      </c>
      <c r="G14" s="470"/>
      <c r="H14" s="479">
        <v>2</v>
      </c>
      <c r="I14" s="480"/>
      <c r="J14" s="481"/>
      <c r="L14" s="107" t="s">
        <v>182</v>
      </c>
      <c r="M14" s="93"/>
      <c r="N14" s="33"/>
      <c r="O14" s="33"/>
      <c r="P14" s="33"/>
      <c r="Q14" s="33"/>
      <c r="R14" s="33"/>
      <c r="S14" s="33"/>
    </row>
    <row r="15" spans="1:21" ht="13.5" customHeight="1">
      <c r="B15" s="28"/>
      <c r="C15" s="526"/>
      <c r="D15" s="527"/>
      <c r="E15" s="528"/>
      <c r="F15" s="471"/>
      <c r="G15" s="472"/>
      <c r="H15" s="482"/>
      <c r="I15" s="483"/>
      <c r="J15" s="484"/>
      <c r="L15" s="28"/>
      <c r="M15" s="93"/>
      <c r="N15" s="33"/>
      <c r="O15" s="33"/>
      <c r="P15" s="33"/>
      <c r="Q15" s="33"/>
      <c r="R15" s="33"/>
      <c r="S15" s="33"/>
    </row>
    <row r="16" spans="1:21" ht="13.5" customHeight="1">
      <c r="B16" s="28"/>
      <c r="C16" s="116"/>
      <c r="D16" s="117"/>
      <c r="E16" s="118"/>
      <c r="F16" s="30"/>
      <c r="G16" s="31"/>
      <c r="H16" s="485" t="s">
        <v>183</v>
      </c>
      <c r="I16" s="486"/>
      <c r="J16" s="487"/>
      <c r="L16" s="107" t="s">
        <v>184</v>
      </c>
      <c r="M16" s="93"/>
      <c r="N16" s="33"/>
      <c r="O16" s="33"/>
      <c r="P16" s="33"/>
      <c r="Q16" s="33"/>
      <c r="R16" s="33"/>
      <c r="S16" s="33"/>
    </row>
    <row r="17" spans="1:20" ht="13.5" customHeight="1">
      <c r="B17" s="28" t="s">
        <v>185</v>
      </c>
      <c r="C17" s="473">
        <v>5</v>
      </c>
      <c r="D17" s="474"/>
      <c r="E17" s="475"/>
      <c r="F17" s="529"/>
      <c r="G17" s="461"/>
      <c r="H17" s="497">
        <v>4</v>
      </c>
      <c r="I17" s="498"/>
      <c r="J17" s="499"/>
      <c r="L17" s="110" t="s">
        <v>186</v>
      </c>
      <c r="M17" s="93"/>
      <c r="N17" s="33"/>
      <c r="O17" s="33"/>
      <c r="P17" s="33"/>
      <c r="Q17" s="33"/>
      <c r="R17" s="33"/>
      <c r="S17" s="33"/>
    </row>
    <row r="18" spans="1:20" ht="13.5" customHeight="1">
      <c r="B18" s="28"/>
      <c r="C18" s="476"/>
      <c r="D18" s="477"/>
      <c r="E18" s="478"/>
      <c r="F18" s="530"/>
      <c r="G18" s="462"/>
      <c r="H18" s="500"/>
      <c r="I18" s="501"/>
      <c r="J18" s="502"/>
      <c r="L18" s="110" t="s">
        <v>187</v>
      </c>
      <c r="M18" s="28"/>
    </row>
    <row r="19" spans="1:20" ht="13.5" customHeight="1">
      <c r="B19" s="28"/>
      <c r="C19" s="120"/>
      <c r="D19" s="119"/>
      <c r="E19" s="121"/>
      <c r="F19" s="134"/>
      <c r="G19" s="135"/>
      <c r="H19" s="494" t="s">
        <v>188</v>
      </c>
      <c r="I19" s="495"/>
      <c r="J19" s="496"/>
      <c r="L19" s="28"/>
      <c r="M19" s="28"/>
      <c r="N19" s="18"/>
      <c r="O19" s="18"/>
      <c r="P19" s="18"/>
      <c r="Q19" s="18"/>
      <c r="R19" s="18"/>
      <c r="S19" s="18"/>
    </row>
    <row r="20" spans="1:20" ht="13.5" customHeight="1">
      <c r="B20" s="28" t="s">
        <v>189</v>
      </c>
      <c r="C20" s="505">
        <v>8</v>
      </c>
      <c r="D20" s="506"/>
      <c r="E20" s="507"/>
      <c r="F20" s="128"/>
      <c r="G20" s="131"/>
      <c r="H20" s="488">
        <v>7</v>
      </c>
      <c r="I20" s="489"/>
      <c r="J20" s="490"/>
      <c r="L20" s="107" t="s">
        <v>190</v>
      </c>
      <c r="M20" s="93"/>
      <c r="N20" s="32"/>
      <c r="O20" s="32"/>
      <c r="P20" s="32"/>
      <c r="Q20" s="32"/>
      <c r="R20" s="32"/>
      <c r="S20" s="32"/>
    </row>
    <row r="21" spans="1:20" ht="13.5" customHeight="1">
      <c r="C21" s="508"/>
      <c r="D21" s="509"/>
      <c r="E21" s="510"/>
      <c r="F21" s="129"/>
      <c r="G21" s="132"/>
      <c r="H21" s="491"/>
      <c r="I21" s="492"/>
      <c r="J21" s="493"/>
      <c r="L21" s="107" t="s">
        <v>191</v>
      </c>
      <c r="M21" s="93"/>
      <c r="N21" s="32"/>
      <c r="O21" s="32"/>
      <c r="P21" s="32"/>
      <c r="Q21" s="32"/>
      <c r="R21" s="32"/>
      <c r="S21" s="32"/>
    </row>
    <row r="22" spans="1:20" ht="13.5" customHeight="1">
      <c r="C22" s="123"/>
      <c r="D22" s="122"/>
      <c r="E22" s="124"/>
      <c r="F22" s="130"/>
      <c r="G22" s="133"/>
      <c r="H22" s="126"/>
      <c r="I22" s="125"/>
      <c r="J22" s="127"/>
      <c r="L22" s="110" t="s">
        <v>192</v>
      </c>
      <c r="M22" s="93"/>
      <c r="N22" s="32"/>
      <c r="O22" s="32"/>
      <c r="P22" s="32"/>
      <c r="Q22" s="32"/>
      <c r="R22" s="32"/>
      <c r="S22" s="32"/>
    </row>
    <row r="23" spans="1:20">
      <c r="C23" s="13" t="s">
        <v>193</v>
      </c>
      <c r="D23" s="28"/>
      <c r="E23" s="28"/>
      <c r="F23" s="458" t="s">
        <v>194</v>
      </c>
      <c r="G23" s="458"/>
      <c r="H23" s="28" t="s">
        <v>195</v>
      </c>
      <c r="I23" s="28"/>
      <c r="J23" s="28"/>
      <c r="L23" s="110" t="s">
        <v>196</v>
      </c>
      <c r="M23" s="28"/>
      <c r="N23" s="32"/>
      <c r="O23" s="32"/>
      <c r="P23" s="32"/>
      <c r="Q23" s="32"/>
      <c r="R23" s="32"/>
      <c r="S23" s="32"/>
      <c r="T23" s="32"/>
    </row>
    <row r="24" spans="1:20">
      <c r="C24" s="29"/>
      <c r="D24" s="13"/>
      <c r="E24" s="13"/>
      <c r="F24" s="13"/>
      <c r="G24" s="13"/>
      <c r="H24" s="29"/>
      <c r="I24" s="13"/>
      <c r="L24" s="110" t="s">
        <v>197</v>
      </c>
      <c r="M24" s="28"/>
    </row>
    <row r="27" spans="1:20" ht="13.5" customHeight="1">
      <c r="A27" s="297" t="s">
        <v>198</v>
      </c>
      <c r="B27" s="297"/>
      <c r="C27" s="297"/>
      <c r="D27" s="297"/>
      <c r="E27" s="297"/>
      <c r="F27" s="297"/>
      <c r="G27" s="297"/>
      <c r="H27" s="297"/>
      <c r="I27" s="297"/>
      <c r="J27" s="297"/>
      <c r="K27" s="297"/>
      <c r="L27" s="297"/>
      <c r="M27" s="297"/>
      <c r="N27" s="297"/>
      <c r="O27" s="297"/>
      <c r="P27" s="297"/>
      <c r="Q27" s="297"/>
      <c r="R27" s="437" t="s">
        <v>199</v>
      </c>
      <c r="S27" s="438"/>
      <c r="T27" s="438"/>
    </row>
    <row r="28" spans="1:20" ht="13.5" customHeight="1">
      <c r="A28" s="297"/>
      <c r="B28" s="297"/>
      <c r="C28" s="297"/>
      <c r="D28" s="297"/>
      <c r="E28" s="297"/>
      <c r="F28" s="297"/>
      <c r="G28" s="297"/>
      <c r="H28" s="297"/>
      <c r="I28" s="297"/>
      <c r="J28" s="297"/>
      <c r="K28" s="297"/>
      <c r="L28" s="297"/>
      <c r="M28" s="297"/>
      <c r="N28" s="297"/>
      <c r="O28" s="297"/>
      <c r="P28" s="297"/>
      <c r="Q28" s="297"/>
      <c r="R28" s="438"/>
      <c r="S28" s="438"/>
      <c r="T28" s="438"/>
    </row>
    <row r="29" spans="1:20" ht="13.5" customHeight="1"/>
    <row r="30" spans="1:20" ht="27" customHeight="1">
      <c r="A30" s="503" t="s">
        <v>41</v>
      </c>
      <c r="B30" s="503"/>
      <c r="C30" s="503"/>
      <c r="D30" s="503"/>
      <c r="E30" s="503"/>
      <c r="F30" s="503"/>
      <c r="G30" s="521" t="s">
        <v>6</v>
      </c>
      <c r="H30" s="522"/>
      <c r="I30" s="522"/>
      <c r="J30" s="522"/>
      <c r="K30" s="448">
        <v>11</v>
      </c>
      <c r="L30" s="448"/>
      <c r="M30" s="88"/>
      <c r="N30" s="89"/>
      <c r="O30" s="518" t="s">
        <v>200</v>
      </c>
      <c r="P30" s="519"/>
      <c r="Q30" s="519"/>
      <c r="R30" s="519"/>
      <c r="S30" s="519"/>
      <c r="T30" s="520"/>
    </row>
    <row r="31" spans="1:20">
      <c r="A31" s="504" t="s">
        <v>201</v>
      </c>
      <c r="B31" s="504"/>
      <c r="C31" s="504"/>
      <c r="D31" s="504"/>
      <c r="E31" s="504"/>
      <c r="F31" s="504"/>
      <c r="G31" s="449" t="str">
        <f>LOOKUP(K30,ｶﾗｰﾁｬｰﾄ・適職!A3:A14,ｶﾗｰﾁｬｰﾄ・適職!B3:B14)</f>
        <v>内向き</v>
      </c>
      <c r="H31" s="450"/>
      <c r="I31" s="450"/>
      <c r="J31" s="450"/>
      <c r="K31" s="450"/>
      <c r="L31" s="450"/>
      <c r="M31" s="450"/>
      <c r="N31" s="451"/>
      <c r="O31" s="511" t="str">
        <f>LOOKUP(K30,ｶﾗｰﾁｬｰﾄ・適職!A3:A14,ｶﾗｰﾁｬｰﾄ・適職!C3:C14)</f>
        <v>内側を満たすことにエネルギーを使い、サポートすることで人の役に立ちます。</v>
      </c>
      <c r="P31" s="512"/>
      <c r="Q31" s="512"/>
      <c r="R31" s="512"/>
      <c r="S31" s="512"/>
      <c r="T31" s="513"/>
    </row>
    <row r="32" spans="1:20">
      <c r="A32" s="504"/>
      <c r="B32" s="504"/>
      <c r="C32" s="504"/>
      <c r="D32" s="504"/>
      <c r="E32" s="504"/>
      <c r="F32" s="504"/>
      <c r="G32" s="449"/>
      <c r="H32" s="450"/>
      <c r="I32" s="450"/>
      <c r="J32" s="450"/>
      <c r="K32" s="450"/>
      <c r="L32" s="450"/>
      <c r="M32" s="450"/>
      <c r="N32" s="451"/>
      <c r="O32" s="514"/>
      <c r="P32" s="515"/>
      <c r="Q32" s="515"/>
      <c r="R32" s="515"/>
      <c r="S32" s="515"/>
      <c r="T32" s="516"/>
    </row>
    <row r="33" spans="1:20">
      <c r="A33" s="504"/>
      <c r="B33" s="504"/>
      <c r="C33" s="504"/>
      <c r="D33" s="504"/>
      <c r="E33" s="504"/>
      <c r="F33" s="504"/>
      <c r="G33" s="452"/>
      <c r="H33" s="453"/>
      <c r="I33" s="453"/>
      <c r="J33" s="453"/>
      <c r="K33" s="453"/>
      <c r="L33" s="453"/>
      <c r="M33" s="453"/>
      <c r="N33" s="454"/>
      <c r="O33" s="441"/>
      <c r="P33" s="517"/>
      <c r="Q33" s="517"/>
      <c r="R33" s="517"/>
      <c r="S33" s="517"/>
      <c r="T33" s="439"/>
    </row>
    <row r="34" spans="1:20">
      <c r="A34" s="445" t="s">
        <v>202</v>
      </c>
      <c r="B34" s="445"/>
      <c r="C34" s="445"/>
      <c r="D34" s="445"/>
      <c r="E34" s="445"/>
      <c r="F34" s="445"/>
      <c r="G34" s="455" t="str">
        <f>LOOKUP(K30,ｶﾗｰﾁｬｰﾄ・適職!A3:A14,ｶﾗｰﾁｬｰﾄ・適職!D3:D14)</f>
        <v>創造</v>
      </c>
      <c r="H34" s="456"/>
      <c r="I34" s="456"/>
      <c r="J34" s="456"/>
      <c r="K34" s="456"/>
      <c r="L34" s="456"/>
      <c r="M34" s="456"/>
      <c r="N34" s="457"/>
      <c r="O34" s="436" t="str">
        <f>LOOKUP(K30,ｶﾗｰﾁｬｰﾄ・適職!A3:A14,ｶﾗｰﾁｬｰﾄ・適職!E3:E14)</f>
        <v>新たなものを生み出すエネルギー</v>
      </c>
      <c r="P34" s="436"/>
      <c r="Q34" s="436"/>
      <c r="R34" s="436"/>
      <c r="S34" s="436"/>
      <c r="T34" s="436"/>
    </row>
    <row r="35" spans="1:20">
      <c r="A35" s="445"/>
      <c r="B35" s="445"/>
      <c r="C35" s="445"/>
      <c r="D35" s="445"/>
      <c r="E35" s="445"/>
      <c r="F35" s="445"/>
      <c r="G35" s="449"/>
      <c r="H35" s="450"/>
      <c r="I35" s="450"/>
      <c r="J35" s="450"/>
      <c r="K35" s="450"/>
      <c r="L35" s="450"/>
      <c r="M35" s="450"/>
      <c r="N35" s="451"/>
      <c r="O35" s="436"/>
      <c r="P35" s="436"/>
      <c r="Q35" s="436"/>
      <c r="R35" s="436"/>
      <c r="S35" s="436"/>
      <c r="T35" s="436"/>
    </row>
    <row r="36" spans="1:20">
      <c r="A36" s="445"/>
      <c r="B36" s="445"/>
      <c r="C36" s="445"/>
      <c r="D36" s="445"/>
      <c r="E36" s="445"/>
      <c r="F36" s="445"/>
      <c r="G36" s="452"/>
      <c r="H36" s="453"/>
      <c r="I36" s="453"/>
      <c r="J36" s="453"/>
      <c r="K36" s="453"/>
      <c r="L36" s="453"/>
      <c r="M36" s="453"/>
      <c r="N36" s="454"/>
      <c r="O36" s="436"/>
      <c r="P36" s="436"/>
      <c r="Q36" s="436"/>
      <c r="R36" s="436"/>
      <c r="S36" s="436"/>
      <c r="T36" s="436"/>
    </row>
    <row r="37" spans="1:20">
      <c r="A37" s="446" t="s">
        <v>203</v>
      </c>
      <c r="B37" s="446"/>
      <c r="C37" s="446"/>
      <c r="D37" s="446"/>
      <c r="E37" s="446"/>
      <c r="F37" s="446"/>
      <c r="G37" s="455" t="str">
        <f>LOOKUP(K30,ｶﾗｰﾁｬｰﾄ・適職!A17:A28,ｶﾗｰﾁｬｰﾄ・適職!B17:B28)</f>
        <v>サポーター</v>
      </c>
      <c r="H37" s="456"/>
      <c r="I37" s="456"/>
      <c r="J37" s="456"/>
      <c r="K37" s="456"/>
      <c r="L37" s="456"/>
      <c r="M37" s="456"/>
      <c r="N37" s="457"/>
      <c r="O37" s="436" t="str">
        <f>LOOKUP(K30,ｶﾗｰﾁｬｰﾄ・適職!A17:A28,ｶﾗｰﾁｬｰﾄ・適職!C17:C28)</f>
        <v>コツコツ仕事をこなす後方・技術者</v>
      </c>
      <c r="P37" s="436"/>
      <c r="Q37" s="436"/>
      <c r="R37" s="436"/>
      <c r="S37" s="436"/>
      <c r="T37" s="436"/>
    </row>
    <row r="38" spans="1:20">
      <c r="A38" s="446"/>
      <c r="B38" s="446"/>
      <c r="C38" s="446"/>
      <c r="D38" s="446"/>
      <c r="E38" s="446"/>
      <c r="F38" s="446"/>
      <c r="G38" s="449"/>
      <c r="H38" s="450"/>
      <c r="I38" s="450"/>
      <c r="J38" s="450"/>
      <c r="K38" s="450"/>
      <c r="L38" s="450"/>
      <c r="M38" s="450"/>
      <c r="N38" s="451"/>
      <c r="O38" s="436"/>
      <c r="P38" s="436"/>
      <c r="Q38" s="436"/>
      <c r="R38" s="436"/>
      <c r="S38" s="436"/>
      <c r="T38" s="436"/>
    </row>
    <row r="39" spans="1:20">
      <c r="A39" s="446"/>
      <c r="B39" s="446"/>
      <c r="C39" s="446"/>
      <c r="D39" s="446"/>
      <c r="E39" s="446"/>
      <c r="F39" s="446"/>
      <c r="G39" s="452"/>
      <c r="H39" s="453"/>
      <c r="I39" s="453"/>
      <c r="J39" s="453"/>
      <c r="K39" s="453"/>
      <c r="L39" s="453"/>
      <c r="M39" s="453"/>
      <c r="N39" s="454"/>
      <c r="O39" s="436"/>
      <c r="P39" s="436"/>
      <c r="Q39" s="436"/>
      <c r="R39" s="436"/>
      <c r="S39" s="436"/>
      <c r="T39" s="436"/>
    </row>
    <row r="40" spans="1:20">
      <c r="A40" s="447" t="s">
        <v>204</v>
      </c>
      <c r="B40" s="447"/>
      <c r="C40" s="447"/>
      <c r="D40" s="447"/>
      <c r="E40" s="447"/>
      <c r="F40" s="447"/>
      <c r="G40" s="455" t="str">
        <f>LOOKUP(K30,ｶﾗｰﾁｬｰﾄ・適職!A17:A28,ｶﾗｰﾁｬｰﾄ・適職!D17:D28)</f>
        <v>直観型</v>
      </c>
      <c r="H40" s="456"/>
      <c r="I40" s="456"/>
      <c r="J40" s="456"/>
      <c r="K40" s="456"/>
      <c r="L40" s="456"/>
      <c r="M40" s="456"/>
      <c r="N40" s="457"/>
      <c r="O40" s="436" t="str">
        <f>LOOKUP(K30,ｶﾗｰﾁｬｰﾄ・適職!A17:A28,ｶﾗｰﾁｬｰﾄ・適職!E17:E28)</f>
        <v>五感や六感、イメージ重視・直観型</v>
      </c>
      <c r="P40" s="436"/>
      <c r="Q40" s="436"/>
      <c r="R40" s="436"/>
      <c r="S40" s="436"/>
      <c r="T40" s="436"/>
    </row>
    <row r="41" spans="1:20">
      <c r="A41" s="447"/>
      <c r="B41" s="447"/>
      <c r="C41" s="447"/>
      <c r="D41" s="447"/>
      <c r="E41" s="447"/>
      <c r="F41" s="447"/>
      <c r="G41" s="449"/>
      <c r="H41" s="450"/>
      <c r="I41" s="450"/>
      <c r="J41" s="450"/>
      <c r="K41" s="450"/>
      <c r="L41" s="450"/>
      <c r="M41" s="450"/>
      <c r="N41" s="451"/>
      <c r="O41" s="436"/>
      <c r="P41" s="436"/>
      <c r="Q41" s="436"/>
      <c r="R41" s="436"/>
      <c r="S41" s="436"/>
      <c r="T41" s="436"/>
    </row>
    <row r="42" spans="1:20">
      <c r="A42" s="447"/>
      <c r="B42" s="447"/>
      <c r="C42" s="447"/>
      <c r="D42" s="447"/>
      <c r="E42" s="447"/>
      <c r="F42" s="447"/>
      <c r="G42" s="452"/>
      <c r="H42" s="453"/>
      <c r="I42" s="453"/>
      <c r="J42" s="453"/>
      <c r="K42" s="453"/>
      <c r="L42" s="453"/>
      <c r="M42" s="453"/>
      <c r="N42" s="454"/>
      <c r="O42" s="436"/>
      <c r="P42" s="436"/>
      <c r="Q42" s="436"/>
      <c r="R42" s="436"/>
      <c r="S42" s="436"/>
      <c r="T42" s="436"/>
    </row>
    <row r="45" spans="1:20" ht="13.5" customHeight="1">
      <c r="B45" s="37"/>
    </row>
    <row r="46" spans="1:20">
      <c r="A46" s="241" t="s">
        <v>205</v>
      </c>
      <c r="B46" s="241"/>
      <c r="C46" s="241"/>
      <c r="D46" s="241"/>
      <c r="E46" s="241"/>
      <c r="F46" s="241"/>
      <c r="G46" s="241"/>
      <c r="H46" s="241"/>
      <c r="I46" s="241"/>
      <c r="J46" s="241"/>
      <c r="K46" s="241"/>
      <c r="L46" s="241"/>
      <c r="M46" s="241"/>
      <c r="N46" s="241"/>
    </row>
    <row r="47" spans="1:20" ht="13.5" customHeight="1">
      <c r="A47" s="27"/>
      <c r="B47" s="230" t="str">
        <f>LOOKUP(K30,ｶﾗｰﾁｬｰﾄ・適職!A3:A14,ｶﾗｰﾁｬｰﾄ・適職!F3:F14)</f>
        <v>心理カウンセラー、セラピスト
デザイナー、クリエイター
（精神性や感性を活かす仕事）</v>
      </c>
      <c r="C47" s="230"/>
      <c r="D47" s="230"/>
      <c r="E47" s="230"/>
      <c r="F47" s="230"/>
      <c r="G47" s="230"/>
      <c r="H47" s="230"/>
      <c r="I47" s="230"/>
      <c r="J47" s="230"/>
      <c r="K47" s="230"/>
      <c r="L47" s="230"/>
      <c r="M47" s="230"/>
      <c r="N47" s="84"/>
      <c r="P47" s="13" t="s">
        <v>206</v>
      </c>
    </row>
    <row r="48" spans="1:20">
      <c r="A48" s="83"/>
      <c r="B48" s="230"/>
      <c r="C48" s="230"/>
      <c r="D48" s="230"/>
      <c r="E48" s="230"/>
      <c r="F48" s="230"/>
      <c r="G48" s="230"/>
      <c r="H48" s="230"/>
      <c r="I48" s="230"/>
      <c r="J48" s="230"/>
      <c r="K48" s="230"/>
      <c r="L48" s="230"/>
      <c r="M48" s="230"/>
      <c r="N48" s="84"/>
      <c r="P48" s="28" t="s">
        <v>207</v>
      </c>
    </row>
    <row r="49" spans="1:16">
      <c r="A49" s="83"/>
      <c r="B49" s="230"/>
      <c r="C49" s="230"/>
      <c r="D49" s="230"/>
      <c r="E49" s="230"/>
      <c r="F49" s="230"/>
      <c r="G49" s="230"/>
      <c r="H49" s="230"/>
      <c r="I49" s="230"/>
      <c r="J49" s="230"/>
      <c r="K49" s="230"/>
      <c r="L49" s="230"/>
      <c r="M49" s="230"/>
      <c r="N49" s="84"/>
      <c r="P49" s="28" t="s">
        <v>208</v>
      </c>
    </row>
    <row r="50" spans="1:16">
      <c r="A50" s="92"/>
      <c r="B50" s="221"/>
      <c r="C50" s="221"/>
      <c r="D50" s="221"/>
      <c r="E50" s="221"/>
      <c r="F50" s="221"/>
      <c r="G50" s="221"/>
      <c r="H50" s="221"/>
      <c r="I50" s="221"/>
      <c r="J50" s="221"/>
      <c r="K50" s="221"/>
      <c r="L50" s="221"/>
      <c r="M50" s="221"/>
      <c r="N50" s="92"/>
      <c r="P50" s="28"/>
    </row>
    <row r="51" spans="1:16">
      <c r="A51" s="241" t="s">
        <v>209</v>
      </c>
      <c r="B51" s="241"/>
      <c r="C51" s="241"/>
      <c r="D51" s="241"/>
      <c r="E51" s="241"/>
      <c r="F51" s="241"/>
      <c r="G51" s="241"/>
      <c r="H51" s="241"/>
      <c r="I51" s="241"/>
      <c r="J51" s="241"/>
      <c r="K51" s="241"/>
      <c r="L51" s="241"/>
      <c r="M51" s="241"/>
      <c r="N51" s="241"/>
      <c r="P51" s="28"/>
    </row>
    <row r="52" spans="1:16">
      <c r="A52" s="27"/>
      <c r="B52" s="439" t="str">
        <f>LOOKUP(K30,ｶﾗｰﾁｬｰﾄ・適職!A17:A28,ｶﾗｰﾁｬｰﾄ・適職!F17:F28)</f>
        <v>穏やかでロマンティストな２、６、１１</v>
      </c>
      <c r="C52" s="440"/>
      <c r="D52" s="440"/>
      <c r="E52" s="440"/>
      <c r="F52" s="440"/>
      <c r="G52" s="440"/>
      <c r="H52" s="440"/>
      <c r="I52" s="440"/>
      <c r="J52" s="440"/>
      <c r="K52" s="440"/>
      <c r="L52" s="440"/>
      <c r="M52" s="441"/>
      <c r="N52" s="10"/>
      <c r="P52" s="28" t="s">
        <v>210</v>
      </c>
    </row>
    <row r="53" spans="1:16">
      <c r="A53" s="27"/>
      <c r="B53" s="442"/>
      <c r="C53" s="443"/>
      <c r="D53" s="443"/>
      <c r="E53" s="443"/>
      <c r="F53" s="443"/>
      <c r="G53" s="443"/>
      <c r="H53" s="443"/>
      <c r="I53" s="443"/>
      <c r="J53" s="443"/>
      <c r="K53" s="443"/>
      <c r="L53" s="443"/>
      <c r="M53" s="444"/>
      <c r="N53" s="10"/>
      <c r="P53" s="28" t="s">
        <v>211</v>
      </c>
    </row>
    <row r="54" spans="1:16">
      <c r="A54" s="4"/>
      <c r="B54" s="442"/>
      <c r="C54" s="443"/>
      <c r="D54" s="443"/>
      <c r="E54" s="443"/>
      <c r="F54" s="443"/>
      <c r="G54" s="443"/>
      <c r="H54" s="443"/>
      <c r="I54" s="443"/>
      <c r="J54" s="443"/>
      <c r="K54" s="443"/>
      <c r="L54" s="443"/>
      <c r="M54" s="444"/>
      <c r="N54" s="6"/>
      <c r="P54" s="28" t="s">
        <v>212</v>
      </c>
    </row>
    <row r="59" spans="1:16" ht="30" customHeight="1"/>
  </sheetData>
  <sheetProtection selectLockedCells="1"/>
  <mergeCells count="36">
    <mergeCell ref="C20:E21"/>
    <mergeCell ref="H20:J21"/>
    <mergeCell ref="S5:T5"/>
    <mergeCell ref="A7:R8"/>
    <mergeCell ref="C14:E15"/>
    <mergeCell ref="F14:G15"/>
    <mergeCell ref="H14:J15"/>
    <mergeCell ref="H16:J16"/>
    <mergeCell ref="C17:E18"/>
    <mergeCell ref="F17:F18"/>
    <mergeCell ref="G17:G18"/>
    <mergeCell ref="H17:J18"/>
    <mergeCell ref="H19:J19"/>
    <mergeCell ref="F23:G23"/>
    <mergeCell ref="A27:Q28"/>
    <mergeCell ref="R27:T28"/>
    <mergeCell ref="A30:F30"/>
    <mergeCell ref="G30:J30"/>
    <mergeCell ref="K30:L30"/>
    <mergeCell ref="O30:T30"/>
    <mergeCell ref="O37:T39"/>
    <mergeCell ref="A40:F42"/>
    <mergeCell ref="G40:N42"/>
    <mergeCell ref="O40:T42"/>
    <mergeCell ref="A31:F33"/>
    <mergeCell ref="G31:N33"/>
    <mergeCell ref="O31:T33"/>
    <mergeCell ref="A34:F36"/>
    <mergeCell ref="G34:N36"/>
    <mergeCell ref="O34:T36"/>
    <mergeCell ref="A46:N46"/>
    <mergeCell ref="B47:M49"/>
    <mergeCell ref="A51:N51"/>
    <mergeCell ref="B52:M54"/>
    <mergeCell ref="A37:F39"/>
    <mergeCell ref="G37:N39"/>
  </mergeCells>
  <phoneticPr fontId="1"/>
  <pageMargins left="0.9055118110236221" right="0" top="0.15748031496062992" bottom="0.15748031496062992" header="0" footer="0"/>
  <pageSetup paperSize="9" fitToWidth="0" orientation="portrait" horizontalDpi="4294967293"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8">
    <tabColor theme="7" tint="-0.249977111117893"/>
    <pageSetUpPr fitToPage="1"/>
  </sheetPr>
  <dimension ref="A1:U60"/>
  <sheetViews>
    <sheetView topLeftCell="A5" zoomScale="110" zoomScaleNormal="110" workbookViewId="0">
      <selection activeCell="B20" sqref="B20"/>
    </sheetView>
  </sheetViews>
  <sheetFormatPr defaultRowHeight="13.5"/>
  <cols>
    <col min="1" max="1" width="2.25" customWidth="1"/>
    <col min="2" max="2" width="4.375" customWidth="1"/>
    <col min="3" max="5" width="2.25" customWidth="1"/>
    <col min="6" max="7" width="3.25" customWidth="1"/>
    <col min="8" max="10" width="2.25" customWidth="1"/>
    <col min="11" max="11" width="2.75" customWidth="1"/>
    <col min="12" max="12" width="1.875" customWidth="1"/>
    <col min="13" max="13" width="3" customWidth="1"/>
    <col min="14" max="14" width="2.25" customWidth="1"/>
    <col min="15" max="15" width="1.75" customWidth="1"/>
    <col min="17" max="17" width="4.875" customWidth="1"/>
    <col min="20" max="20" width="9.375" customWidth="1"/>
    <col min="23" max="23" width="2.75" customWidth="1"/>
  </cols>
  <sheetData>
    <row r="1" spans="1:21" ht="30" customHeight="1"/>
    <row r="2" spans="1:21" ht="39" customHeight="1"/>
    <row r="3" spans="1:21">
      <c r="A3" s="107" t="s">
        <v>20</v>
      </c>
      <c r="B3" s="28"/>
      <c r="S3" s="108" t="s">
        <v>21</v>
      </c>
      <c r="U3" s="1" t="s">
        <v>175</v>
      </c>
    </row>
    <row r="4" spans="1:21" ht="15.75" customHeight="1">
      <c r="A4" s="28"/>
      <c r="B4" s="28"/>
    </row>
    <row r="5" spans="1:21" ht="18.75" customHeight="1">
      <c r="A5" s="28"/>
      <c r="B5" s="28"/>
      <c r="P5" s="7" t="s">
        <v>176</v>
      </c>
      <c r="Q5" s="8"/>
      <c r="R5" s="8"/>
      <c r="S5" s="265">
        <f>入力データ!C18</f>
        <v>0</v>
      </c>
      <c r="T5" s="265"/>
      <c r="U5" s="9" t="s">
        <v>24</v>
      </c>
    </row>
    <row r="7" spans="1:21" ht="13.5" customHeight="1">
      <c r="A7" s="297" t="s">
        <v>177</v>
      </c>
      <c r="B7" s="297"/>
      <c r="C7" s="297"/>
      <c r="D7" s="297"/>
      <c r="E7" s="297"/>
      <c r="F7" s="297"/>
      <c r="G7" s="297"/>
      <c r="H7" s="297"/>
      <c r="I7" s="297"/>
      <c r="J7" s="297"/>
      <c r="K7" s="297"/>
      <c r="L7" s="297"/>
      <c r="M7" s="297"/>
      <c r="N7" s="297"/>
      <c r="O7" s="297"/>
      <c r="P7" s="297"/>
      <c r="Q7" s="297"/>
      <c r="R7" s="297"/>
    </row>
    <row r="8" spans="1:21" ht="13.5" customHeight="1">
      <c r="A8" s="297"/>
      <c r="B8" s="297"/>
      <c r="C8" s="297"/>
      <c r="D8" s="297"/>
      <c r="E8" s="297"/>
      <c r="F8" s="297"/>
      <c r="G8" s="297"/>
      <c r="H8" s="297"/>
      <c r="I8" s="297"/>
      <c r="J8" s="297"/>
      <c r="K8" s="297"/>
      <c r="L8" s="297"/>
      <c r="M8" s="297"/>
      <c r="N8" s="297"/>
      <c r="O8" s="297"/>
      <c r="P8" s="297"/>
      <c r="Q8" s="297"/>
      <c r="R8" s="297"/>
    </row>
    <row r="10" spans="1:21">
      <c r="A10" s="110" t="s">
        <v>178</v>
      </c>
    </row>
    <row r="11" spans="1:21">
      <c r="A11" s="28" t="s">
        <v>179</v>
      </c>
      <c r="F11" s="110"/>
    </row>
    <row r="12" spans="1:21">
      <c r="A12" s="28" t="s">
        <v>180</v>
      </c>
      <c r="F12" s="110"/>
    </row>
    <row r="14" spans="1:21" ht="13.5" customHeight="1">
      <c r="B14" s="13" t="s">
        <v>181</v>
      </c>
      <c r="C14" s="523">
        <v>3</v>
      </c>
      <c r="D14" s="524"/>
      <c r="E14" s="525"/>
      <c r="F14" s="469">
        <v>1</v>
      </c>
      <c r="G14" s="470"/>
      <c r="H14" s="479">
        <v>2</v>
      </c>
      <c r="I14" s="480"/>
      <c r="J14" s="481"/>
      <c r="L14" s="107" t="s">
        <v>182</v>
      </c>
      <c r="M14" s="93"/>
      <c r="N14" s="33"/>
      <c r="O14" s="33"/>
      <c r="P14" s="33"/>
      <c r="Q14" s="33"/>
      <c r="R14" s="33"/>
      <c r="S14" s="33"/>
    </row>
    <row r="15" spans="1:21" ht="13.5" customHeight="1">
      <c r="B15" s="28"/>
      <c r="C15" s="526"/>
      <c r="D15" s="527"/>
      <c r="E15" s="528"/>
      <c r="F15" s="471"/>
      <c r="G15" s="472"/>
      <c r="H15" s="482"/>
      <c r="I15" s="483"/>
      <c r="J15" s="484"/>
      <c r="L15" s="28"/>
      <c r="M15" s="93"/>
      <c r="N15" s="33"/>
      <c r="O15" s="33"/>
      <c r="P15" s="33"/>
      <c r="Q15" s="33"/>
      <c r="R15" s="33"/>
      <c r="S15" s="33"/>
    </row>
    <row r="16" spans="1:21" ht="13.5" customHeight="1">
      <c r="B16" s="28"/>
      <c r="C16" s="116"/>
      <c r="D16" s="117"/>
      <c r="E16" s="118"/>
      <c r="F16" s="30"/>
      <c r="G16" s="31"/>
      <c r="H16" s="485" t="s">
        <v>183</v>
      </c>
      <c r="I16" s="486"/>
      <c r="J16" s="487"/>
      <c r="L16" s="107" t="s">
        <v>184</v>
      </c>
      <c r="M16" s="93"/>
      <c r="N16" s="33"/>
      <c r="O16" s="33"/>
      <c r="P16" s="33"/>
      <c r="Q16" s="33"/>
      <c r="R16" s="33"/>
      <c r="S16" s="33"/>
    </row>
    <row r="17" spans="1:20" ht="13.5" customHeight="1">
      <c r="B17" s="28" t="s">
        <v>185</v>
      </c>
      <c r="C17" s="473">
        <v>5</v>
      </c>
      <c r="D17" s="474"/>
      <c r="E17" s="475"/>
      <c r="F17" s="459"/>
      <c r="G17" s="461"/>
      <c r="H17" s="497">
        <v>4</v>
      </c>
      <c r="I17" s="498"/>
      <c r="J17" s="499"/>
      <c r="L17" s="110" t="s">
        <v>186</v>
      </c>
      <c r="M17" s="93"/>
      <c r="N17" s="33"/>
      <c r="O17" s="33"/>
      <c r="P17" s="33"/>
      <c r="Q17" s="33"/>
      <c r="R17" s="33"/>
      <c r="S17" s="33"/>
    </row>
    <row r="18" spans="1:20" ht="13.5" customHeight="1">
      <c r="B18" s="28"/>
      <c r="C18" s="476"/>
      <c r="D18" s="477"/>
      <c r="E18" s="478"/>
      <c r="F18" s="460"/>
      <c r="G18" s="462"/>
      <c r="H18" s="500"/>
      <c r="I18" s="501"/>
      <c r="J18" s="502"/>
      <c r="L18" s="110" t="s">
        <v>187</v>
      </c>
      <c r="M18" s="28"/>
    </row>
    <row r="19" spans="1:20" ht="13.5" customHeight="1">
      <c r="B19" s="28"/>
      <c r="C19" s="120"/>
      <c r="D19" s="119"/>
      <c r="E19" s="121"/>
      <c r="F19" s="134"/>
      <c r="G19" s="135"/>
      <c r="H19" s="494" t="s">
        <v>188</v>
      </c>
      <c r="I19" s="495"/>
      <c r="J19" s="496"/>
      <c r="L19" s="28"/>
      <c r="M19" s="28"/>
      <c r="N19" s="18"/>
      <c r="O19" s="18"/>
      <c r="P19" s="18"/>
      <c r="Q19" s="18"/>
      <c r="R19" s="18"/>
      <c r="S19" s="18"/>
    </row>
    <row r="20" spans="1:20" ht="13.5" customHeight="1">
      <c r="B20" s="28" t="s">
        <v>189</v>
      </c>
      <c r="C20" s="505">
        <v>8</v>
      </c>
      <c r="D20" s="506"/>
      <c r="E20" s="507"/>
      <c r="F20" s="128"/>
      <c r="G20" s="131"/>
      <c r="H20" s="488">
        <v>7</v>
      </c>
      <c r="I20" s="489"/>
      <c r="J20" s="490"/>
      <c r="L20" s="107" t="s">
        <v>190</v>
      </c>
      <c r="M20" s="93"/>
      <c r="N20" s="32"/>
      <c r="O20" s="32"/>
      <c r="P20" s="32"/>
      <c r="Q20" s="32"/>
      <c r="R20" s="32"/>
      <c r="S20" s="32"/>
    </row>
    <row r="21" spans="1:20" ht="13.5" customHeight="1">
      <c r="C21" s="508"/>
      <c r="D21" s="509"/>
      <c r="E21" s="510"/>
      <c r="F21" s="129"/>
      <c r="G21" s="132"/>
      <c r="H21" s="491"/>
      <c r="I21" s="492"/>
      <c r="J21" s="493"/>
      <c r="L21" s="107" t="s">
        <v>191</v>
      </c>
      <c r="M21" s="93"/>
      <c r="N21" s="32"/>
      <c r="O21" s="32"/>
      <c r="P21" s="32"/>
      <c r="Q21" s="32"/>
      <c r="R21" s="32"/>
      <c r="S21" s="32"/>
    </row>
    <row r="22" spans="1:20" ht="13.5" customHeight="1">
      <c r="C22" s="123"/>
      <c r="D22" s="122"/>
      <c r="E22" s="124"/>
      <c r="F22" s="130"/>
      <c r="G22" s="133"/>
      <c r="H22" s="126"/>
      <c r="I22" s="125"/>
      <c r="J22" s="127"/>
      <c r="L22" s="110" t="s">
        <v>192</v>
      </c>
      <c r="M22" s="93"/>
      <c r="N22" s="32"/>
      <c r="O22" s="32"/>
      <c r="P22" s="32"/>
      <c r="Q22" s="32"/>
      <c r="R22" s="32"/>
      <c r="S22" s="32"/>
    </row>
    <row r="23" spans="1:20">
      <c r="C23" s="13" t="s">
        <v>193</v>
      </c>
      <c r="D23" s="28"/>
      <c r="E23" s="28"/>
      <c r="F23" s="458" t="s">
        <v>194</v>
      </c>
      <c r="G23" s="458"/>
      <c r="H23" s="28" t="s">
        <v>195</v>
      </c>
      <c r="I23" s="28"/>
      <c r="J23" s="28"/>
      <c r="L23" s="110" t="s">
        <v>196</v>
      </c>
      <c r="M23" s="28"/>
      <c r="N23" s="32"/>
      <c r="O23" s="32"/>
      <c r="P23" s="32"/>
      <c r="Q23" s="32"/>
      <c r="R23" s="32"/>
      <c r="S23" s="32"/>
      <c r="T23" s="32"/>
    </row>
    <row r="24" spans="1:20">
      <c r="C24" s="29"/>
      <c r="D24" s="13"/>
      <c r="E24" s="13"/>
      <c r="F24" s="13"/>
      <c r="G24" s="13"/>
      <c r="H24" s="29"/>
      <c r="I24" s="13"/>
      <c r="L24" s="110" t="s">
        <v>197</v>
      </c>
      <c r="M24" s="28"/>
    </row>
    <row r="27" spans="1:20" ht="13.5" customHeight="1">
      <c r="A27" s="297" t="s">
        <v>198</v>
      </c>
      <c r="B27" s="297"/>
      <c r="C27" s="297"/>
      <c r="D27" s="297"/>
      <c r="E27" s="297"/>
      <c r="F27" s="297"/>
      <c r="G27" s="297"/>
      <c r="H27" s="297"/>
      <c r="I27" s="297"/>
      <c r="J27" s="297"/>
      <c r="K27" s="297"/>
      <c r="L27" s="297"/>
      <c r="M27" s="297"/>
      <c r="N27" s="297"/>
      <c r="O27" s="297"/>
      <c r="P27" s="297"/>
      <c r="Q27" s="297"/>
      <c r="R27" s="437" t="s">
        <v>199</v>
      </c>
      <c r="S27" s="438"/>
      <c r="T27" s="438"/>
    </row>
    <row r="28" spans="1:20" ht="13.5" customHeight="1">
      <c r="A28" s="297"/>
      <c r="B28" s="297"/>
      <c r="C28" s="297"/>
      <c r="D28" s="297"/>
      <c r="E28" s="297"/>
      <c r="F28" s="297"/>
      <c r="G28" s="297"/>
      <c r="H28" s="297"/>
      <c r="I28" s="297"/>
      <c r="J28" s="297"/>
      <c r="K28" s="297"/>
      <c r="L28" s="297"/>
      <c r="M28" s="297"/>
      <c r="N28" s="297"/>
      <c r="O28" s="297"/>
      <c r="P28" s="297"/>
      <c r="Q28" s="297"/>
      <c r="R28" s="438"/>
      <c r="S28" s="438"/>
      <c r="T28" s="438"/>
    </row>
    <row r="29" spans="1:20" ht="13.5" customHeight="1"/>
    <row r="30" spans="1:20" ht="27" customHeight="1">
      <c r="A30" s="503" t="s">
        <v>41</v>
      </c>
      <c r="B30" s="503"/>
      <c r="C30" s="503"/>
      <c r="D30" s="503"/>
      <c r="E30" s="503"/>
      <c r="F30" s="503"/>
      <c r="G30" s="521" t="s">
        <v>6</v>
      </c>
      <c r="H30" s="522"/>
      <c r="I30" s="522"/>
      <c r="J30" s="522"/>
      <c r="K30" s="448">
        <v>22</v>
      </c>
      <c r="L30" s="448"/>
      <c r="M30" s="88"/>
      <c r="N30" s="89"/>
      <c r="O30" s="518" t="s">
        <v>200</v>
      </c>
      <c r="P30" s="519"/>
      <c r="Q30" s="519"/>
      <c r="R30" s="519"/>
      <c r="S30" s="519"/>
      <c r="T30" s="520"/>
    </row>
    <row r="31" spans="1:20">
      <c r="A31" s="504" t="s">
        <v>201</v>
      </c>
      <c r="B31" s="504"/>
      <c r="C31" s="504"/>
      <c r="D31" s="504"/>
      <c r="E31" s="504"/>
      <c r="F31" s="504"/>
      <c r="G31" s="449" t="str">
        <f>LOOKUP(K30,ｶﾗｰﾁｬｰﾄ・適職!A3:A14,ｶﾗｰﾁｬｰﾄ・適職!B3:B14)</f>
        <v>内向き</v>
      </c>
      <c r="H31" s="450"/>
      <c r="I31" s="450"/>
      <c r="J31" s="450"/>
      <c r="K31" s="450"/>
      <c r="L31" s="450"/>
      <c r="M31" s="450"/>
      <c r="N31" s="451"/>
      <c r="O31" s="511" t="str">
        <f>LOOKUP(K30,ｶﾗｰﾁｬｰﾄ・適職!A3:A14,ｶﾗｰﾁｬｰﾄ・適職!C3:C14)</f>
        <v>内側を満たすことにエネルギーを使い、サポートすることで人の役に立ちます。</v>
      </c>
      <c r="P31" s="512"/>
      <c r="Q31" s="512"/>
      <c r="R31" s="512"/>
      <c r="S31" s="512"/>
      <c r="T31" s="513"/>
    </row>
    <row r="32" spans="1:20">
      <c r="A32" s="504"/>
      <c r="B32" s="504"/>
      <c r="C32" s="504"/>
      <c r="D32" s="504"/>
      <c r="E32" s="504"/>
      <c r="F32" s="504"/>
      <c r="G32" s="449"/>
      <c r="H32" s="450"/>
      <c r="I32" s="450"/>
      <c r="J32" s="450"/>
      <c r="K32" s="450"/>
      <c r="L32" s="450"/>
      <c r="M32" s="450"/>
      <c r="N32" s="451"/>
      <c r="O32" s="514"/>
      <c r="P32" s="515"/>
      <c r="Q32" s="515"/>
      <c r="R32" s="515"/>
      <c r="S32" s="515"/>
      <c r="T32" s="516"/>
    </row>
    <row r="33" spans="1:20">
      <c r="A33" s="504"/>
      <c r="B33" s="504"/>
      <c r="C33" s="504"/>
      <c r="D33" s="504"/>
      <c r="E33" s="504"/>
      <c r="F33" s="504"/>
      <c r="G33" s="452"/>
      <c r="H33" s="453"/>
      <c r="I33" s="453"/>
      <c r="J33" s="453"/>
      <c r="K33" s="453"/>
      <c r="L33" s="453"/>
      <c r="M33" s="453"/>
      <c r="N33" s="454"/>
      <c r="O33" s="441"/>
      <c r="P33" s="517"/>
      <c r="Q33" s="517"/>
      <c r="R33" s="517"/>
      <c r="S33" s="517"/>
      <c r="T33" s="439"/>
    </row>
    <row r="34" spans="1:20">
      <c r="A34" s="445" t="s">
        <v>202</v>
      </c>
      <c r="B34" s="445"/>
      <c r="C34" s="445"/>
      <c r="D34" s="445"/>
      <c r="E34" s="445"/>
      <c r="F34" s="445"/>
      <c r="G34" s="455" t="str">
        <f>LOOKUP(K30,ｶﾗｰﾁｬｰﾄ・適職!A3:A14,ｶﾗｰﾁｬｰﾄ・適職!D3:D14)</f>
        <v>成長</v>
      </c>
      <c r="H34" s="456"/>
      <c r="I34" s="456"/>
      <c r="J34" s="456"/>
      <c r="K34" s="456"/>
      <c r="L34" s="456"/>
      <c r="M34" s="456"/>
      <c r="N34" s="457"/>
      <c r="O34" s="436" t="str">
        <f>LOOKUP(K30,ｶﾗｰﾁｬｰﾄ・適職!A3:A14,ｶﾗｰﾁｬｰﾄ・適職!E3:E14)</f>
        <v>調和を重んじながら繋がるエネルギー</v>
      </c>
      <c r="P34" s="436"/>
      <c r="Q34" s="436"/>
      <c r="R34" s="436"/>
      <c r="S34" s="436"/>
      <c r="T34" s="436"/>
    </row>
    <row r="35" spans="1:20">
      <c r="A35" s="445"/>
      <c r="B35" s="445"/>
      <c r="C35" s="445"/>
      <c r="D35" s="445"/>
      <c r="E35" s="445"/>
      <c r="F35" s="445"/>
      <c r="G35" s="449"/>
      <c r="H35" s="450"/>
      <c r="I35" s="450"/>
      <c r="J35" s="450"/>
      <c r="K35" s="450"/>
      <c r="L35" s="450"/>
      <c r="M35" s="450"/>
      <c r="N35" s="451"/>
      <c r="O35" s="436"/>
      <c r="P35" s="436"/>
      <c r="Q35" s="436"/>
      <c r="R35" s="436"/>
      <c r="S35" s="436"/>
      <c r="T35" s="436"/>
    </row>
    <row r="36" spans="1:20">
      <c r="A36" s="445"/>
      <c r="B36" s="445"/>
      <c r="C36" s="445"/>
      <c r="D36" s="445"/>
      <c r="E36" s="445"/>
      <c r="F36" s="445"/>
      <c r="G36" s="452"/>
      <c r="H36" s="453"/>
      <c r="I36" s="453"/>
      <c r="J36" s="453"/>
      <c r="K36" s="453"/>
      <c r="L36" s="453"/>
      <c r="M36" s="453"/>
      <c r="N36" s="454"/>
      <c r="O36" s="436"/>
      <c r="P36" s="436"/>
      <c r="Q36" s="436"/>
      <c r="R36" s="436"/>
      <c r="S36" s="436"/>
      <c r="T36" s="436"/>
    </row>
    <row r="37" spans="1:20">
      <c r="A37" s="446" t="s">
        <v>203</v>
      </c>
      <c r="B37" s="446"/>
      <c r="C37" s="446"/>
      <c r="D37" s="446"/>
      <c r="E37" s="446"/>
      <c r="F37" s="446"/>
      <c r="G37" s="455" t="str">
        <f>LOOKUP(K30,ｶﾗｰﾁｬｰﾄ・適職!A17:A28,ｶﾗｰﾁｬｰﾄ・適職!B17:B28)</f>
        <v>サポーター</v>
      </c>
      <c r="H37" s="456"/>
      <c r="I37" s="456"/>
      <c r="J37" s="456"/>
      <c r="K37" s="456"/>
      <c r="L37" s="456"/>
      <c r="M37" s="456"/>
      <c r="N37" s="457"/>
      <c r="O37" s="436" t="str">
        <f>LOOKUP(K30,ｶﾗｰﾁｬｰﾄ・適職!A17:A28,ｶﾗｰﾁｬｰﾄ・適職!C17:C28)</f>
        <v>コツコツ仕事をこなす後方・技術者</v>
      </c>
      <c r="P37" s="436"/>
      <c r="Q37" s="436"/>
      <c r="R37" s="436"/>
      <c r="S37" s="436"/>
      <c r="T37" s="436"/>
    </row>
    <row r="38" spans="1:20">
      <c r="A38" s="446"/>
      <c r="B38" s="446"/>
      <c r="C38" s="446"/>
      <c r="D38" s="446"/>
      <c r="E38" s="446"/>
      <c r="F38" s="446"/>
      <c r="G38" s="449"/>
      <c r="H38" s="450"/>
      <c r="I38" s="450"/>
      <c r="J38" s="450"/>
      <c r="K38" s="450"/>
      <c r="L38" s="450"/>
      <c r="M38" s="450"/>
      <c r="N38" s="451"/>
      <c r="O38" s="436"/>
      <c r="P38" s="436"/>
      <c r="Q38" s="436"/>
      <c r="R38" s="436"/>
      <c r="S38" s="436"/>
      <c r="T38" s="436"/>
    </row>
    <row r="39" spans="1:20">
      <c r="A39" s="446"/>
      <c r="B39" s="446"/>
      <c r="C39" s="446"/>
      <c r="D39" s="446"/>
      <c r="E39" s="446"/>
      <c r="F39" s="446"/>
      <c r="G39" s="452"/>
      <c r="H39" s="453"/>
      <c r="I39" s="453"/>
      <c r="J39" s="453"/>
      <c r="K39" s="453"/>
      <c r="L39" s="453"/>
      <c r="M39" s="453"/>
      <c r="N39" s="454"/>
      <c r="O39" s="436"/>
      <c r="P39" s="436"/>
      <c r="Q39" s="436"/>
      <c r="R39" s="436"/>
      <c r="S39" s="436"/>
      <c r="T39" s="436"/>
    </row>
    <row r="40" spans="1:20">
      <c r="A40" s="447" t="s">
        <v>204</v>
      </c>
      <c r="B40" s="447"/>
      <c r="C40" s="447"/>
      <c r="D40" s="447"/>
      <c r="E40" s="447"/>
      <c r="F40" s="447"/>
      <c r="G40" s="455" t="str">
        <f>LOOKUP(K30,ｶﾗｰﾁｬｰﾄ・適職!A17:A28,ｶﾗｰﾁｬｰﾄ・適職!D17:D28)</f>
        <v>直観型</v>
      </c>
      <c r="H40" s="456"/>
      <c r="I40" s="456"/>
      <c r="J40" s="456"/>
      <c r="K40" s="456"/>
      <c r="L40" s="456"/>
      <c r="M40" s="456"/>
      <c r="N40" s="457"/>
      <c r="O40" s="436" t="str">
        <f>LOOKUP(K30,ｶﾗｰﾁｬｰﾄ・適職!A17:A28,ｶﾗｰﾁｬｰﾄ・適職!E17:E28)</f>
        <v>五感や六感、イメージ重視・直観型</v>
      </c>
      <c r="P40" s="436"/>
      <c r="Q40" s="436"/>
      <c r="R40" s="436"/>
      <c r="S40" s="436"/>
      <c r="T40" s="436"/>
    </row>
    <row r="41" spans="1:20">
      <c r="A41" s="447"/>
      <c r="B41" s="447"/>
      <c r="C41" s="447"/>
      <c r="D41" s="447"/>
      <c r="E41" s="447"/>
      <c r="F41" s="447"/>
      <c r="G41" s="449"/>
      <c r="H41" s="450"/>
      <c r="I41" s="450"/>
      <c r="J41" s="450"/>
      <c r="K41" s="450"/>
      <c r="L41" s="450"/>
      <c r="M41" s="450"/>
      <c r="N41" s="451"/>
      <c r="O41" s="436"/>
      <c r="P41" s="436"/>
      <c r="Q41" s="436"/>
      <c r="R41" s="436"/>
      <c r="S41" s="436"/>
      <c r="T41" s="436"/>
    </row>
    <row r="42" spans="1:20">
      <c r="A42" s="447"/>
      <c r="B42" s="447"/>
      <c r="C42" s="447"/>
      <c r="D42" s="447"/>
      <c r="E42" s="447"/>
      <c r="F42" s="447"/>
      <c r="G42" s="452"/>
      <c r="H42" s="453"/>
      <c r="I42" s="453"/>
      <c r="J42" s="453"/>
      <c r="K42" s="453"/>
      <c r="L42" s="453"/>
      <c r="M42" s="453"/>
      <c r="N42" s="454"/>
      <c r="O42" s="436"/>
      <c r="P42" s="436"/>
      <c r="Q42" s="436"/>
      <c r="R42" s="436"/>
      <c r="S42" s="436"/>
      <c r="T42" s="436"/>
    </row>
    <row r="45" spans="1:20" ht="13.5" customHeight="1">
      <c r="B45" s="37"/>
    </row>
    <row r="46" spans="1:20">
      <c r="A46" s="241" t="s">
        <v>205</v>
      </c>
      <c r="B46" s="241"/>
      <c r="C46" s="241"/>
      <c r="D46" s="241"/>
      <c r="E46" s="241"/>
      <c r="F46" s="241"/>
      <c r="G46" s="241"/>
      <c r="H46" s="241"/>
      <c r="I46" s="241"/>
      <c r="J46" s="241"/>
      <c r="K46" s="241"/>
      <c r="L46" s="241"/>
      <c r="M46" s="241"/>
      <c r="N46" s="241"/>
    </row>
    <row r="47" spans="1:20" ht="13.5" customHeight="1">
      <c r="A47" s="27"/>
      <c r="B47" s="230" t="str">
        <f>LOOKUP(K30,ｶﾗｰﾁｬｰﾄ・適職!A3:A14,ｶﾗｰﾁｬｰﾄ・適職!F3:F14)</f>
        <v>精神世界を学び、あらゆる分野で率先し人を導く</v>
      </c>
      <c r="C47" s="230"/>
      <c r="D47" s="230"/>
      <c r="E47" s="230"/>
      <c r="F47" s="230"/>
      <c r="G47" s="230"/>
      <c r="H47" s="230"/>
      <c r="I47" s="230"/>
      <c r="J47" s="230"/>
      <c r="K47" s="230"/>
      <c r="L47" s="230"/>
      <c r="M47" s="230"/>
      <c r="N47" s="84"/>
      <c r="P47" s="13" t="s">
        <v>206</v>
      </c>
    </row>
    <row r="48" spans="1:20">
      <c r="A48" s="83"/>
      <c r="B48" s="230"/>
      <c r="C48" s="230"/>
      <c r="D48" s="230"/>
      <c r="E48" s="230"/>
      <c r="F48" s="230"/>
      <c r="G48" s="230"/>
      <c r="H48" s="230"/>
      <c r="I48" s="230"/>
      <c r="J48" s="230"/>
      <c r="K48" s="230"/>
      <c r="L48" s="230"/>
      <c r="M48" s="230"/>
      <c r="N48" s="84"/>
      <c r="P48" s="28" t="s">
        <v>207</v>
      </c>
    </row>
    <row r="49" spans="1:19">
      <c r="A49" s="83"/>
      <c r="B49" s="230"/>
      <c r="C49" s="230"/>
      <c r="D49" s="230"/>
      <c r="E49" s="230"/>
      <c r="F49" s="230"/>
      <c r="G49" s="230"/>
      <c r="H49" s="230"/>
      <c r="I49" s="230"/>
      <c r="J49" s="230"/>
      <c r="K49" s="230"/>
      <c r="L49" s="230"/>
      <c r="M49" s="230"/>
      <c r="N49" s="84"/>
      <c r="P49" s="28" t="s">
        <v>208</v>
      </c>
    </row>
    <row r="50" spans="1:19">
      <c r="A50" s="92"/>
      <c r="B50" s="221"/>
      <c r="C50" s="221"/>
      <c r="D50" s="221"/>
      <c r="E50" s="221"/>
      <c r="F50" s="221"/>
      <c r="G50" s="221"/>
      <c r="H50" s="221"/>
      <c r="I50" s="221"/>
      <c r="J50" s="221"/>
      <c r="K50" s="221"/>
      <c r="L50" s="221"/>
      <c r="M50" s="221"/>
      <c r="N50" s="92"/>
      <c r="P50" s="28"/>
    </row>
    <row r="51" spans="1:19">
      <c r="A51" s="241" t="s">
        <v>209</v>
      </c>
      <c r="B51" s="241"/>
      <c r="C51" s="241"/>
      <c r="D51" s="241"/>
      <c r="E51" s="241"/>
      <c r="F51" s="241"/>
      <c r="G51" s="241"/>
      <c r="H51" s="241"/>
      <c r="I51" s="241"/>
      <c r="J51" s="241"/>
      <c r="K51" s="241"/>
      <c r="L51" s="241"/>
      <c r="M51" s="241"/>
      <c r="N51" s="241"/>
      <c r="P51" s="28"/>
    </row>
    <row r="52" spans="1:19">
      <c r="A52" s="27"/>
      <c r="B52" s="439" t="str">
        <f>LOOKUP(K30,ｶﾗｰﾁｬｰﾄ・適職!A17:A28,ｶﾗｰﾁｬｰﾄ・適職!F17:F28)</f>
        <v>穏やかに見守ってくれる
物静かな２、６</v>
      </c>
      <c r="C52" s="440"/>
      <c r="D52" s="440"/>
      <c r="E52" s="440"/>
      <c r="F52" s="440"/>
      <c r="G52" s="440"/>
      <c r="H52" s="440"/>
      <c r="I52" s="440"/>
      <c r="J52" s="440"/>
      <c r="K52" s="440"/>
      <c r="L52" s="440"/>
      <c r="M52" s="441"/>
      <c r="N52" s="10"/>
      <c r="P52" s="28" t="s">
        <v>210</v>
      </c>
    </row>
    <row r="53" spans="1:19">
      <c r="A53" s="27"/>
      <c r="B53" s="442"/>
      <c r="C53" s="443"/>
      <c r="D53" s="443"/>
      <c r="E53" s="443"/>
      <c r="F53" s="443"/>
      <c r="G53" s="443"/>
      <c r="H53" s="443"/>
      <c r="I53" s="443"/>
      <c r="J53" s="443"/>
      <c r="K53" s="443"/>
      <c r="L53" s="443"/>
      <c r="M53" s="444"/>
      <c r="N53" s="10"/>
      <c r="P53" s="28" t="s">
        <v>211</v>
      </c>
    </row>
    <row r="54" spans="1:19">
      <c r="A54" s="4"/>
      <c r="B54" s="442"/>
      <c r="C54" s="443"/>
      <c r="D54" s="443"/>
      <c r="E54" s="443"/>
      <c r="F54" s="443"/>
      <c r="G54" s="443"/>
      <c r="H54" s="443"/>
      <c r="I54" s="443"/>
      <c r="J54" s="443"/>
      <c r="K54" s="443"/>
      <c r="L54" s="443"/>
      <c r="M54" s="444"/>
      <c r="N54" s="6"/>
      <c r="P54" s="28" t="s">
        <v>212</v>
      </c>
    </row>
    <row r="58" spans="1:19">
      <c r="H58" s="13" t="s">
        <v>94</v>
      </c>
      <c r="K58" s="13"/>
      <c r="Q58" s="13"/>
      <c r="R58" s="13"/>
      <c r="S58" s="13"/>
    </row>
    <row r="60" spans="1:19" ht="30" customHeight="1"/>
  </sheetData>
  <sheetProtection selectLockedCells="1"/>
  <mergeCells count="36">
    <mergeCell ref="C20:E21"/>
    <mergeCell ref="H20:J21"/>
    <mergeCell ref="S5:T5"/>
    <mergeCell ref="A7:R8"/>
    <mergeCell ref="C14:E15"/>
    <mergeCell ref="F14:G15"/>
    <mergeCell ref="H14:J15"/>
    <mergeCell ref="H16:J16"/>
    <mergeCell ref="C17:E18"/>
    <mergeCell ref="F17:F18"/>
    <mergeCell ref="G17:G18"/>
    <mergeCell ref="H17:J18"/>
    <mergeCell ref="H19:J19"/>
    <mergeCell ref="F23:G23"/>
    <mergeCell ref="A27:Q28"/>
    <mergeCell ref="R27:T28"/>
    <mergeCell ref="A30:F30"/>
    <mergeCell ref="G30:J30"/>
    <mergeCell ref="K30:L30"/>
    <mergeCell ref="O30:T30"/>
    <mergeCell ref="O37:T39"/>
    <mergeCell ref="A40:F42"/>
    <mergeCell ref="G40:N42"/>
    <mergeCell ref="O40:T42"/>
    <mergeCell ref="A31:F33"/>
    <mergeCell ref="G31:N33"/>
    <mergeCell ref="O31:T33"/>
    <mergeCell ref="A34:F36"/>
    <mergeCell ref="G34:N36"/>
    <mergeCell ref="O34:T36"/>
    <mergeCell ref="A46:N46"/>
    <mergeCell ref="B47:M49"/>
    <mergeCell ref="A51:N51"/>
    <mergeCell ref="B52:M54"/>
    <mergeCell ref="A37:F39"/>
    <mergeCell ref="G37:N39"/>
  </mergeCells>
  <phoneticPr fontId="1"/>
  <pageMargins left="0.9055118110236221" right="0" top="0.15748031496062992" bottom="0.15748031496062992" header="0" footer="0"/>
  <pageSetup paperSize="9" fitToWidth="0" orientation="portrait" horizontalDpi="4294967293"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9">
    <tabColor theme="7" tint="-0.249977111117893"/>
    <pageSetUpPr fitToPage="1"/>
  </sheetPr>
  <dimension ref="A1:U60"/>
  <sheetViews>
    <sheetView topLeftCell="A4" zoomScale="75" zoomScaleNormal="75" workbookViewId="0">
      <selection activeCell="H20" sqref="H20:J21"/>
    </sheetView>
  </sheetViews>
  <sheetFormatPr defaultRowHeight="13.5"/>
  <cols>
    <col min="1" max="1" width="2.25" customWidth="1"/>
    <col min="2" max="2" width="4.375" customWidth="1"/>
    <col min="3" max="5" width="2.25" customWidth="1"/>
    <col min="6" max="7" width="3.25" customWidth="1"/>
    <col min="8" max="10" width="2.25" customWidth="1"/>
    <col min="11" max="11" width="2.75" customWidth="1"/>
    <col min="12" max="12" width="1.875" customWidth="1"/>
    <col min="13" max="13" width="3" customWidth="1"/>
    <col min="14" max="14" width="2.25" customWidth="1"/>
    <col min="15" max="15" width="1.75" customWidth="1"/>
    <col min="17" max="17" width="4.875" customWidth="1"/>
    <col min="20" max="20" width="9.375" customWidth="1"/>
    <col min="23" max="23" width="2.75" customWidth="1"/>
  </cols>
  <sheetData>
    <row r="1" spans="1:21" ht="30" customHeight="1"/>
    <row r="2" spans="1:21" ht="39" customHeight="1"/>
    <row r="3" spans="1:21">
      <c r="A3" s="107" t="s">
        <v>20</v>
      </c>
      <c r="B3" s="28"/>
      <c r="S3" s="108" t="s">
        <v>21</v>
      </c>
      <c r="U3" s="1" t="s">
        <v>175</v>
      </c>
    </row>
    <row r="4" spans="1:21" ht="15.75" customHeight="1">
      <c r="A4" s="28"/>
      <c r="B4" s="28"/>
    </row>
    <row r="5" spans="1:21" ht="18.75" customHeight="1">
      <c r="A5" s="28"/>
      <c r="B5" s="28"/>
      <c r="P5" s="7" t="s">
        <v>176</v>
      </c>
      <c r="Q5" s="8"/>
      <c r="R5" s="8"/>
      <c r="S5" s="265">
        <f>入力データ!C18</f>
        <v>0</v>
      </c>
      <c r="T5" s="265"/>
      <c r="U5" s="9" t="s">
        <v>24</v>
      </c>
    </row>
    <row r="7" spans="1:21" ht="13.5" customHeight="1">
      <c r="A7" s="297" t="s">
        <v>177</v>
      </c>
      <c r="B7" s="297"/>
      <c r="C7" s="297"/>
      <c r="D7" s="297"/>
      <c r="E7" s="297"/>
      <c r="F7" s="297"/>
      <c r="G7" s="297"/>
      <c r="H7" s="297"/>
      <c r="I7" s="297"/>
      <c r="J7" s="297"/>
      <c r="K7" s="297"/>
      <c r="L7" s="297"/>
      <c r="M7" s="297"/>
      <c r="N7" s="297"/>
      <c r="O7" s="297"/>
      <c r="P7" s="297"/>
      <c r="Q7" s="297"/>
      <c r="R7" s="297"/>
    </row>
    <row r="8" spans="1:21" ht="13.5" customHeight="1">
      <c r="A8" s="297"/>
      <c r="B8" s="297"/>
      <c r="C8" s="297"/>
      <c r="D8" s="297"/>
      <c r="E8" s="297"/>
      <c r="F8" s="297"/>
      <c r="G8" s="297"/>
      <c r="H8" s="297"/>
      <c r="I8" s="297"/>
      <c r="J8" s="297"/>
      <c r="K8" s="297"/>
      <c r="L8" s="297"/>
      <c r="M8" s="297"/>
      <c r="N8" s="297"/>
      <c r="O8" s="297"/>
      <c r="P8" s="297"/>
      <c r="Q8" s="297"/>
      <c r="R8" s="297"/>
    </row>
    <row r="10" spans="1:21">
      <c r="A10" s="110" t="s">
        <v>178</v>
      </c>
    </row>
    <row r="11" spans="1:21">
      <c r="A11" s="28" t="s">
        <v>179</v>
      </c>
      <c r="F11" s="110"/>
    </row>
    <row r="12" spans="1:21">
      <c r="A12" s="28" t="s">
        <v>180</v>
      </c>
      <c r="F12" s="110"/>
    </row>
    <row r="14" spans="1:21" ht="13.5" customHeight="1">
      <c r="B14" s="13" t="s">
        <v>181</v>
      </c>
      <c r="C14" s="523">
        <v>3</v>
      </c>
      <c r="D14" s="524"/>
      <c r="E14" s="525"/>
      <c r="F14" s="469">
        <v>1</v>
      </c>
      <c r="G14" s="470"/>
      <c r="H14" s="479">
        <v>2</v>
      </c>
      <c r="I14" s="480"/>
      <c r="J14" s="481"/>
      <c r="L14" s="107" t="s">
        <v>182</v>
      </c>
      <c r="M14" s="93"/>
      <c r="N14" s="33"/>
      <c r="O14" s="33"/>
      <c r="P14" s="33"/>
      <c r="Q14" s="33"/>
      <c r="R14" s="33"/>
      <c r="S14" s="33"/>
    </row>
    <row r="15" spans="1:21" ht="13.5" customHeight="1">
      <c r="B15" s="28"/>
      <c r="C15" s="526"/>
      <c r="D15" s="527"/>
      <c r="E15" s="528"/>
      <c r="F15" s="471"/>
      <c r="G15" s="472"/>
      <c r="H15" s="482"/>
      <c r="I15" s="483"/>
      <c r="J15" s="484"/>
      <c r="L15" s="28"/>
      <c r="M15" s="93"/>
      <c r="N15" s="33"/>
      <c r="O15" s="33"/>
      <c r="P15" s="33"/>
      <c r="Q15" s="33"/>
      <c r="R15" s="33"/>
      <c r="S15" s="33"/>
    </row>
    <row r="16" spans="1:21" ht="13.5" customHeight="1">
      <c r="B16" s="28"/>
      <c r="C16" s="116"/>
      <c r="D16" s="117"/>
      <c r="E16" s="118"/>
      <c r="F16" s="30"/>
      <c r="G16" s="31"/>
      <c r="H16" s="485" t="s">
        <v>183</v>
      </c>
      <c r="I16" s="486"/>
      <c r="J16" s="487"/>
      <c r="L16" s="107" t="s">
        <v>184</v>
      </c>
      <c r="M16" s="93"/>
      <c r="N16" s="33"/>
      <c r="O16" s="33"/>
      <c r="P16" s="33"/>
      <c r="Q16" s="33"/>
      <c r="R16" s="33"/>
      <c r="S16" s="33"/>
    </row>
    <row r="17" spans="1:20" ht="13.5" customHeight="1">
      <c r="B17" s="28" t="s">
        <v>185</v>
      </c>
      <c r="C17" s="473">
        <v>5</v>
      </c>
      <c r="D17" s="474"/>
      <c r="E17" s="475"/>
      <c r="F17" s="459"/>
      <c r="G17" s="461"/>
      <c r="H17" s="497">
        <v>4</v>
      </c>
      <c r="I17" s="498"/>
      <c r="J17" s="499"/>
      <c r="L17" s="110" t="s">
        <v>186</v>
      </c>
      <c r="M17" s="93"/>
      <c r="N17" s="33"/>
      <c r="O17" s="33"/>
      <c r="P17" s="33"/>
      <c r="Q17" s="33"/>
      <c r="R17" s="33"/>
      <c r="S17" s="33"/>
    </row>
    <row r="18" spans="1:20" ht="13.5" customHeight="1">
      <c r="B18" s="28"/>
      <c r="C18" s="476"/>
      <c r="D18" s="477"/>
      <c r="E18" s="478"/>
      <c r="F18" s="460"/>
      <c r="G18" s="462"/>
      <c r="H18" s="500"/>
      <c r="I18" s="501"/>
      <c r="J18" s="502"/>
      <c r="L18" s="110" t="s">
        <v>187</v>
      </c>
      <c r="M18" s="28"/>
    </row>
    <row r="19" spans="1:20" ht="13.5" customHeight="1">
      <c r="B19" s="28"/>
      <c r="C19" s="120"/>
      <c r="D19" s="119"/>
      <c r="E19" s="121"/>
      <c r="F19" s="134"/>
      <c r="G19" s="135"/>
      <c r="H19" s="494" t="s">
        <v>188</v>
      </c>
      <c r="I19" s="495"/>
      <c r="J19" s="496"/>
      <c r="L19" s="28"/>
      <c r="M19" s="28"/>
      <c r="N19" s="18"/>
      <c r="O19" s="18"/>
      <c r="P19" s="18"/>
      <c r="Q19" s="18"/>
      <c r="R19" s="18"/>
      <c r="S19" s="18"/>
    </row>
    <row r="20" spans="1:20" ht="13.5" customHeight="1">
      <c r="B20" s="28" t="s">
        <v>189</v>
      </c>
      <c r="C20" s="505">
        <v>8</v>
      </c>
      <c r="D20" s="506"/>
      <c r="E20" s="507"/>
      <c r="F20" s="128"/>
      <c r="G20" s="131"/>
      <c r="H20" s="488">
        <v>7</v>
      </c>
      <c r="I20" s="489"/>
      <c r="J20" s="490"/>
      <c r="L20" s="107" t="s">
        <v>190</v>
      </c>
      <c r="M20" s="93"/>
      <c r="N20" s="32"/>
      <c r="O20" s="32"/>
      <c r="P20" s="32"/>
      <c r="Q20" s="32"/>
      <c r="R20" s="32"/>
      <c r="S20" s="32"/>
    </row>
    <row r="21" spans="1:20" ht="13.5" customHeight="1">
      <c r="C21" s="508"/>
      <c r="D21" s="509"/>
      <c r="E21" s="510"/>
      <c r="F21" s="129"/>
      <c r="G21" s="132"/>
      <c r="H21" s="491"/>
      <c r="I21" s="492"/>
      <c r="J21" s="493"/>
      <c r="L21" s="107" t="s">
        <v>191</v>
      </c>
      <c r="M21" s="93"/>
      <c r="N21" s="32"/>
      <c r="O21" s="32"/>
      <c r="P21" s="32"/>
      <c r="Q21" s="32"/>
      <c r="R21" s="32"/>
      <c r="S21" s="32"/>
    </row>
    <row r="22" spans="1:20" ht="13.5" customHeight="1">
      <c r="C22" s="123"/>
      <c r="D22" s="122"/>
      <c r="E22" s="124"/>
      <c r="F22" s="130"/>
      <c r="G22" s="133"/>
      <c r="H22" s="126"/>
      <c r="I22" s="125"/>
      <c r="J22" s="127"/>
      <c r="L22" s="110" t="s">
        <v>192</v>
      </c>
      <c r="M22" s="93"/>
      <c r="N22" s="32"/>
      <c r="O22" s="32"/>
      <c r="P22" s="32"/>
      <c r="Q22" s="32"/>
      <c r="R22" s="32"/>
      <c r="S22" s="32"/>
    </row>
    <row r="23" spans="1:20">
      <c r="C23" s="13" t="s">
        <v>193</v>
      </c>
      <c r="D23" s="28"/>
      <c r="E23" s="28"/>
      <c r="F23" s="458" t="s">
        <v>194</v>
      </c>
      <c r="G23" s="458"/>
      <c r="H23" s="28" t="s">
        <v>195</v>
      </c>
      <c r="I23" s="28"/>
      <c r="J23" s="28"/>
      <c r="L23" s="110" t="s">
        <v>196</v>
      </c>
      <c r="M23" s="28"/>
      <c r="N23" s="32"/>
      <c r="O23" s="32"/>
      <c r="P23" s="32"/>
      <c r="Q23" s="32"/>
      <c r="R23" s="32"/>
      <c r="S23" s="32"/>
      <c r="T23" s="32"/>
    </row>
    <row r="24" spans="1:20">
      <c r="C24" s="29"/>
      <c r="D24" s="13"/>
      <c r="E24" s="13"/>
      <c r="F24" s="13"/>
      <c r="G24" s="13"/>
      <c r="H24" s="29"/>
      <c r="I24" s="13"/>
      <c r="L24" s="110" t="s">
        <v>197</v>
      </c>
      <c r="M24" s="28"/>
    </row>
    <row r="27" spans="1:20" ht="13.5" customHeight="1">
      <c r="A27" s="297" t="s">
        <v>198</v>
      </c>
      <c r="B27" s="297"/>
      <c r="C27" s="297"/>
      <c r="D27" s="297"/>
      <c r="E27" s="297"/>
      <c r="F27" s="297"/>
      <c r="G27" s="297"/>
      <c r="H27" s="297"/>
      <c r="I27" s="297"/>
      <c r="J27" s="297"/>
      <c r="K27" s="297"/>
      <c r="L27" s="297"/>
      <c r="M27" s="297"/>
      <c r="N27" s="297"/>
      <c r="O27" s="297"/>
      <c r="P27" s="297"/>
      <c r="Q27" s="297"/>
      <c r="R27" s="437" t="s">
        <v>199</v>
      </c>
      <c r="S27" s="438"/>
      <c r="T27" s="438"/>
    </row>
    <row r="28" spans="1:20" ht="13.5" customHeight="1">
      <c r="A28" s="297"/>
      <c r="B28" s="297"/>
      <c r="C28" s="297"/>
      <c r="D28" s="297"/>
      <c r="E28" s="297"/>
      <c r="F28" s="297"/>
      <c r="G28" s="297"/>
      <c r="H28" s="297"/>
      <c r="I28" s="297"/>
      <c r="J28" s="297"/>
      <c r="K28" s="297"/>
      <c r="L28" s="297"/>
      <c r="M28" s="297"/>
      <c r="N28" s="297"/>
      <c r="O28" s="297"/>
      <c r="P28" s="297"/>
      <c r="Q28" s="297"/>
      <c r="R28" s="438"/>
      <c r="S28" s="438"/>
      <c r="T28" s="438"/>
    </row>
    <row r="29" spans="1:20" ht="13.5" customHeight="1"/>
    <row r="30" spans="1:20" ht="27" customHeight="1">
      <c r="A30" s="503" t="s">
        <v>41</v>
      </c>
      <c r="B30" s="503"/>
      <c r="C30" s="503"/>
      <c r="D30" s="503"/>
      <c r="E30" s="503"/>
      <c r="F30" s="503"/>
      <c r="G30" s="521" t="s">
        <v>6</v>
      </c>
      <c r="H30" s="522"/>
      <c r="I30" s="522"/>
      <c r="J30" s="522"/>
      <c r="K30" s="531">
        <v>33</v>
      </c>
      <c r="L30" s="531"/>
      <c r="M30" s="88"/>
      <c r="N30" s="89"/>
      <c r="O30" s="518" t="s">
        <v>200</v>
      </c>
      <c r="P30" s="519"/>
      <c r="Q30" s="519"/>
      <c r="R30" s="519"/>
      <c r="S30" s="519"/>
      <c r="T30" s="520"/>
    </row>
    <row r="31" spans="1:20">
      <c r="A31" s="504" t="s">
        <v>201</v>
      </c>
      <c r="B31" s="504"/>
      <c r="C31" s="504"/>
      <c r="D31" s="504"/>
      <c r="E31" s="504"/>
      <c r="F31" s="504"/>
      <c r="G31" s="449" t="str">
        <f>LOOKUP(K30,ｶﾗｰﾁｬｰﾄ・適職!A3:A14,ｶﾗｰﾁｬｰﾄ・適職!B3:B14)</f>
        <v>中　庸</v>
      </c>
      <c r="H31" s="450"/>
      <c r="I31" s="450"/>
      <c r="J31" s="450"/>
      <c r="K31" s="450"/>
      <c r="L31" s="450"/>
      <c r="M31" s="450"/>
      <c r="N31" s="451"/>
      <c r="O31" s="511" t="str">
        <f>LOOKUP(K30,ｶﾗｰﾁｬｰﾄ・適職!A3:A14,ｶﾗｰﾁｬｰﾄ・適職!C3:C14)</f>
        <v>外側・内側（行動と感情）のバランスを重視し、安定を保ちます。</v>
      </c>
      <c r="P31" s="512"/>
      <c r="Q31" s="512"/>
      <c r="R31" s="512"/>
      <c r="S31" s="512"/>
      <c r="T31" s="513"/>
    </row>
    <row r="32" spans="1:20">
      <c r="A32" s="504"/>
      <c r="B32" s="504"/>
      <c r="C32" s="504"/>
      <c r="D32" s="504"/>
      <c r="E32" s="504"/>
      <c r="F32" s="504"/>
      <c r="G32" s="449"/>
      <c r="H32" s="450"/>
      <c r="I32" s="450"/>
      <c r="J32" s="450"/>
      <c r="K32" s="450"/>
      <c r="L32" s="450"/>
      <c r="M32" s="450"/>
      <c r="N32" s="451"/>
      <c r="O32" s="514"/>
      <c r="P32" s="515"/>
      <c r="Q32" s="515"/>
      <c r="R32" s="515"/>
      <c r="S32" s="515"/>
      <c r="T32" s="516"/>
    </row>
    <row r="33" spans="1:20">
      <c r="A33" s="504"/>
      <c r="B33" s="504"/>
      <c r="C33" s="504"/>
      <c r="D33" s="504"/>
      <c r="E33" s="504"/>
      <c r="F33" s="504"/>
      <c r="G33" s="452"/>
      <c r="H33" s="453"/>
      <c r="I33" s="453"/>
      <c r="J33" s="453"/>
      <c r="K33" s="453"/>
      <c r="L33" s="453"/>
      <c r="M33" s="453"/>
      <c r="N33" s="454"/>
      <c r="O33" s="441"/>
      <c r="P33" s="517"/>
      <c r="Q33" s="517"/>
      <c r="R33" s="517"/>
      <c r="S33" s="517"/>
      <c r="T33" s="439"/>
    </row>
    <row r="34" spans="1:20">
      <c r="A34" s="445" t="s">
        <v>202</v>
      </c>
      <c r="B34" s="445"/>
      <c r="C34" s="445"/>
      <c r="D34" s="445"/>
      <c r="E34" s="445"/>
      <c r="F34" s="445"/>
      <c r="G34" s="455" t="str">
        <f>LOOKUP(K30,ｶﾗｰﾁｬｰﾄ・適職!A3:A14,ｶﾗｰﾁｬｰﾄ・適職!D3:D14)</f>
        <v>成長</v>
      </c>
      <c r="H34" s="456"/>
      <c r="I34" s="456"/>
      <c r="J34" s="456"/>
      <c r="K34" s="456"/>
      <c r="L34" s="456"/>
      <c r="M34" s="456"/>
      <c r="N34" s="457"/>
      <c r="O34" s="436" t="str">
        <f>LOOKUP(K30,ｶﾗｰﾁｬｰﾄ・適職!A3:A14,ｶﾗｰﾁｬｰﾄ・適職!E3:E14)</f>
        <v>調和を重んじながら繋がるエネルギー</v>
      </c>
      <c r="P34" s="436"/>
      <c r="Q34" s="436"/>
      <c r="R34" s="436"/>
      <c r="S34" s="436"/>
      <c r="T34" s="436"/>
    </row>
    <row r="35" spans="1:20">
      <c r="A35" s="445"/>
      <c r="B35" s="445"/>
      <c r="C35" s="445"/>
      <c r="D35" s="445"/>
      <c r="E35" s="445"/>
      <c r="F35" s="445"/>
      <c r="G35" s="449"/>
      <c r="H35" s="450"/>
      <c r="I35" s="450"/>
      <c r="J35" s="450"/>
      <c r="K35" s="450"/>
      <c r="L35" s="450"/>
      <c r="M35" s="450"/>
      <c r="N35" s="451"/>
      <c r="O35" s="436"/>
      <c r="P35" s="436"/>
      <c r="Q35" s="436"/>
      <c r="R35" s="436"/>
      <c r="S35" s="436"/>
      <c r="T35" s="436"/>
    </row>
    <row r="36" spans="1:20">
      <c r="A36" s="445"/>
      <c r="B36" s="445"/>
      <c r="C36" s="445"/>
      <c r="D36" s="445"/>
      <c r="E36" s="445"/>
      <c r="F36" s="445"/>
      <c r="G36" s="452"/>
      <c r="H36" s="453"/>
      <c r="I36" s="453"/>
      <c r="J36" s="453"/>
      <c r="K36" s="453"/>
      <c r="L36" s="453"/>
      <c r="M36" s="453"/>
      <c r="N36" s="454"/>
      <c r="O36" s="436"/>
      <c r="P36" s="436"/>
      <c r="Q36" s="436"/>
      <c r="R36" s="436"/>
      <c r="S36" s="436"/>
      <c r="T36" s="436"/>
    </row>
    <row r="37" spans="1:20">
      <c r="A37" s="446" t="s">
        <v>203</v>
      </c>
      <c r="B37" s="446"/>
      <c r="C37" s="446"/>
      <c r="D37" s="446"/>
      <c r="E37" s="446"/>
      <c r="F37" s="446"/>
      <c r="G37" s="455" t="str">
        <f>LOOKUP(K30,ｶﾗｰﾁｬｰﾄ・適職!A17:A28,ｶﾗｰﾁｬｰﾄ・適職!B17:B28)</f>
        <v>リーダー</v>
      </c>
      <c r="H37" s="456"/>
      <c r="I37" s="456"/>
      <c r="J37" s="456"/>
      <c r="K37" s="456"/>
      <c r="L37" s="456"/>
      <c r="M37" s="456"/>
      <c r="N37" s="457"/>
      <c r="O37" s="436" t="str">
        <f>LOOKUP(K30,ｶﾗｰﾁｬｰﾄ・適職!A17:A28,ｶﾗｰﾁｬｰﾄ・適職!C17:C28)</f>
        <v>総合的にまとめるリーダー・管理職</v>
      </c>
      <c r="P37" s="436"/>
      <c r="Q37" s="436"/>
      <c r="R37" s="436"/>
      <c r="S37" s="436"/>
      <c r="T37" s="436"/>
    </row>
    <row r="38" spans="1:20">
      <c r="A38" s="446"/>
      <c r="B38" s="446"/>
      <c r="C38" s="446"/>
      <c r="D38" s="446"/>
      <c r="E38" s="446"/>
      <c r="F38" s="446"/>
      <c r="G38" s="449"/>
      <c r="H38" s="450"/>
      <c r="I38" s="450"/>
      <c r="J38" s="450"/>
      <c r="K38" s="450"/>
      <c r="L38" s="450"/>
      <c r="M38" s="450"/>
      <c r="N38" s="451"/>
      <c r="O38" s="436"/>
      <c r="P38" s="436"/>
      <c r="Q38" s="436"/>
      <c r="R38" s="436"/>
      <c r="S38" s="436"/>
      <c r="T38" s="436"/>
    </row>
    <row r="39" spans="1:20">
      <c r="A39" s="446"/>
      <c r="B39" s="446"/>
      <c r="C39" s="446"/>
      <c r="D39" s="446"/>
      <c r="E39" s="446"/>
      <c r="F39" s="446"/>
      <c r="G39" s="452"/>
      <c r="H39" s="453"/>
      <c r="I39" s="453"/>
      <c r="J39" s="453"/>
      <c r="K39" s="453"/>
      <c r="L39" s="453"/>
      <c r="M39" s="453"/>
      <c r="N39" s="454"/>
      <c r="O39" s="436"/>
      <c r="P39" s="436"/>
      <c r="Q39" s="436"/>
      <c r="R39" s="436"/>
      <c r="S39" s="436"/>
      <c r="T39" s="436"/>
    </row>
    <row r="40" spans="1:20">
      <c r="A40" s="447" t="s">
        <v>204</v>
      </c>
      <c r="B40" s="447"/>
      <c r="C40" s="447"/>
      <c r="D40" s="447"/>
      <c r="E40" s="447"/>
      <c r="F40" s="447"/>
      <c r="G40" s="455" t="str">
        <f>LOOKUP(K30,ｶﾗｰﾁｬｰﾄ・適職!A17:A28,ｶﾗｰﾁｬｰﾄ・適職!D17:D28)</f>
        <v>直観型</v>
      </c>
      <c r="H40" s="456"/>
      <c r="I40" s="456"/>
      <c r="J40" s="456"/>
      <c r="K40" s="456"/>
      <c r="L40" s="456"/>
      <c r="M40" s="456"/>
      <c r="N40" s="457"/>
      <c r="O40" s="436" t="str">
        <f>LOOKUP(K30,ｶﾗｰﾁｬｰﾄ・適職!A17:A28,ｶﾗｰﾁｬｰﾄ・適職!E17:E28)</f>
        <v>五感や六感、イメージ重視・直観型</v>
      </c>
      <c r="P40" s="436"/>
      <c r="Q40" s="436"/>
      <c r="R40" s="436"/>
      <c r="S40" s="436"/>
      <c r="T40" s="436"/>
    </row>
    <row r="41" spans="1:20">
      <c r="A41" s="447"/>
      <c r="B41" s="447"/>
      <c r="C41" s="447"/>
      <c r="D41" s="447"/>
      <c r="E41" s="447"/>
      <c r="F41" s="447"/>
      <c r="G41" s="449"/>
      <c r="H41" s="450"/>
      <c r="I41" s="450"/>
      <c r="J41" s="450"/>
      <c r="K41" s="450"/>
      <c r="L41" s="450"/>
      <c r="M41" s="450"/>
      <c r="N41" s="451"/>
      <c r="O41" s="436"/>
      <c r="P41" s="436"/>
      <c r="Q41" s="436"/>
      <c r="R41" s="436"/>
      <c r="S41" s="436"/>
      <c r="T41" s="436"/>
    </row>
    <row r="42" spans="1:20">
      <c r="A42" s="447"/>
      <c r="B42" s="447"/>
      <c r="C42" s="447"/>
      <c r="D42" s="447"/>
      <c r="E42" s="447"/>
      <c r="F42" s="447"/>
      <c r="G42" s="452"/>
      <c r="H42" s="453"/>
      <c r="I42" s="453"/>
      <c r="J42" s="453"/>
      <c r="K42" s="453"/>
      <c r="L42" s="453"/>
      <c r="M42" s="453"/>
      <c r="N42" s="454"/>
      <c r="O42" s="436"/>
      <c r="P42" s="436"/>
      <c r="Q42" s="436"/>
      <c r="R42" s="436"/>
      <c r="S42" s="436"/>
      <c r="T42" s="436"/>
    </row>
    <row r="45" spans="1:20" ht="13.5" customHeight="1">
      <c r="B45" s="37"/>
    </row>
    <row r="46" spans="1:20">
      <c r="A46" s="241" t="s">
        <v>205</v>
      </c>
      <c r="B46" s="241"/>
      <c r="C46" s="241"/>
      <c r="D46" s="241"/>
      <c r="E46" s="241"/>
      <c r="F46" s="241"/>
      <c r="G46" s="241"/>
      <c r="H46" s="241"/>
      <c r="I46" s="241"/>
      <c r="J46" s="241"/>
      <c r="K46" s="241"/>
      <c r="L46" s="241"/>
      <c r="M46" s="241"/>
      <c r="N46" s="241"/>
    </row>
    <row r="47" spans="1:20" ht="13.5" customHeight="1">
      <c r="A47" s="27"/>
      <c r="B47" s="230" t="str">
        <f>LOOKUP(K30,ｶﾗｰﾁｬｰﾄ・適職!A3:A14,ｶﾗｰﾁｬｰﾄ・適職!F3:F14)</f>
        <v>精神世界を学び、あらゆる分野で率先し人を導く</v>
      </c>
      <c r="C47" s="230"/>
      <c r="D47" s="230"/>
      <c r="E47" s="230"/>
      <c r="F47" s="230"/>
      <c r="G47" s="230"/>
      <c r="H47" s="230"/>
      <c r="I47" s="230"/>
      <c r="J47" s="230"/>
      <c r="K47" s="230"/>
      <c r="L47" s="230"/>
      <c r="M47" s="230"/>
      <c r="N47" s="84"/>
      <c r="P47" s="13" t="s">
        <v>206</v>
      </c>
    </row>
    <row r="48" spans="1:20">
      <c r="A48" s="83"/>
      <c r="B48" s="230"/>
      <c r="C48" s="230"/>
      <c r="D48" s="230"/>
      <c r="E48" s="230"/>
      <c r="F48" s="230"/>
      <c r="G48" s="230"/>
      <c r="H48" s="230"/>
      <c r="I48" s="230"/>
      <c r="J48" s="230"/>
      <c r="K48" s="230"/>
      <c r="L48" s="230"/>
      <c r="M48" s="230"/>
      <c r="N48" s="84"/>
      <c r="P48" s="28" t="s">
        <v>207</v>
      </c>
    </row>
    <row r="49" spans="1:19">
      <c r="A49" s="83"/>
      <c r="B49" s="230"/>
      <c r="C49" s="230"/>
      <c r="D49" s="230"/>
      <c r="E49" s="230"/>
      <c r="F49" s="230"/>
      <c r="G49" s="230"/>
      <c r="H49" s="230"/>
      <c r="I49" s="230"/>
      <c r="J49" s="230"/>
      <c r="K49" s="230"/>
      <c r="L49" s="230"/>
      <c r="M49" s="230"/>
      <c r="N49" s="84"/>
      <c r="P49" s="28" t="s">
        <v>208</v>
      </c>
    </row>
    <row r="50" spans="1:19">
      <c r="A50" s="92"/>
      <c r="B50" s="221"/>
      <c r="C50" s="221"/>
      <c r="D50" s="221"/>
      <c r="E50" s="221"/>
      <c r="F50" s="221"/>
      <c r="G50" s="221"/>
      <c r="H50" s="221"/>
      <c r="I50" s="221"/>
      <c r="J50" s="221"/>
      <c r="K50" s="221"/>
      <c r="L50" s="221"/>
      <c r="M50" s="221"/>
      <c r="N50" s="92"/>
      <c r="P50" s="28"/>
    </row>
    <row r="51" spans="1:19">
      <c r="A51" s="241" t="s">
        <v>209</v>
      </c>
      <c r="B51" s="241"/>
      <c r="C51" s="241"/>
      <c r="D51" s="241"/>
      <c r="E51" s="241"/>
      <c r="F51" s="241"/>
      <c r="G51" s="241"/>
      <c r="H51" s="241"/>
      <c r="I51" s="241"/>
      <c r="J51" s="241"/>
      <c r="K51" s="241"/>
      <c r="L51" s="241"/>
      <c r="M51" s="241"/>
      <c r="N51" s="241"/>
      <c r="P51" s="28"/>
    </row>
    <row r="52" spans="1:19">
      <c r="A52" s="27"/>
      <c r="B52" s="439" t="str">
        <f>LOOKUP(K30,ｶﾗｰﾁｬｰﾄ・適職!A17:A28,ｶﾗｰﾁｬｰﾄ・適職!F17:F28)</f>
        <v>精神成長度が近く繊細な感覚の７、１１、３３</v>
      </c>
      <c r="C52" s="440"/>
      <c r="D52" s="440"/>
      <c r="E52" s="440"/>
      <c r="F52" s="440"/>
      <c r="G52" s="440"/>
      <c r="H52" s="440"/>
      <c r="I52" s="440"/>
      <c r="J52" s="440"/>
      <c r="K52" s="440"/>
      <c r="L52" s="440"/>
      <c r="M52" s="441"/>
      <c r="N52" s="10"/>
      <c r="P52" s="28" t="s">
        <v>210</v>
      </c>
    </row>
    <row r="53" spans="1:19">
      <c r="A53" s="27"/>
      <c r="B53" s="442"/>
      <c r="C53" s="443"/>
      <c r="D53" s="443"/>
      <c r="E53" s="443"/>
      <c r="F53" s="443"/>
      <c r="G53" s="443"/>
      <c r="H53" s="443"/>
      <c r="I53" s="443"/>
      <c r="J53" s="443"/>
      <c r="K53" s="443"/>
      <c r="L53" s="443"/>
      <c r="M53" s="444"/>
      <c r="N53" s="10"/>
      <c r="P53" s="28" t="s">
        <v>211</v>
      </c>
    </row>
    <row r="54" spans="1:19">
      <c r="A54" s="4"/>
      <c r="B54" s="442"/>
      <c r="C54" s="443"/>
      <c r="D54" s="443"/>
      <c r="E54" s="443"/>
      <c r="F54" s="443"/>
      <c r="G54" s="443"/>
      <c r="H54" s="443"/>
      <c r="I54" s="443"/>
      <c r="J54" s="443"/>
      <c r="K54" s="443"/>
      <c r="L54" s="443"/>
      <c r="M54" s="444"/>
      <c r="N54" s="6"/>
      <c r="P54" s="28" t="s">
        <v>212</v>
      </c>
    </row>
    <row r="58" spans="1:19">
      <c r="H58" s="13" t="s">
        <v>95</v>
      </c>
      <c r="K58" s="13"/>
      <c r="P58" s="13"/>
      <c r="Q58" s="13"/>
      <c r="R58" s="13"/>
      <c r="S58" s="13"/>
    </row>
    <row r="60" spans="1:19" ht="30" customHeight="1"/>
  </sheetData>
  <sheetProtection selectLockedCells="1"/>
  <mergeCells count="36">
    <mergeCell ref="C20:E21"/>
    <mergeCell ref="H20:J21"/>
    <mergeCell ref="S5:T5"/>
    <mergeCell ref="A7:R8"/>
    <mergeCell ref="C14:E15"/>
    <mergeCell ref="F14:G15"/>
    <mergeCell ref="H14:J15"/>
    <mergeCell ref="H16:J16"/>
    <mergeCell ref="C17:E18"/>
    <mergeCell ref="F17:F18"/>
    <mergeCell ref="G17:G18"/>
    <mergeCell ref="H17:J18"/>
    <mergeCell ref="H19:J19"/>
    <mergeCell ref="F23:G23"/>
    <mergeCell ref="A27:Q28"/>
    <mergeCell ref="R27:T28"/>
    <mergeCell ref="A30:F30"/>
    <mergeCell ref="G30:J30"/>
    <mergeCell ref="K30:L30"/>
    <mergeCell ref="O30:T30"/>
    <mergeCell ref="O37:T39"/>
    <mergeCell ref="A40:F42"/>
    <mergeCell ref="G40:N42"/>
    <mergeCell ref="O40:T42"/>
    <mergeCell ref="A31:F33"/>
    <mergeCell ref="G31:N33"/>
    <mergeCell ref="O31:T33"/>
    <mergeCell ref="A34:F36"/>
    <mergeCell ref="G34:N36"/>
    <mergeCell ref="O34:T36"/>
    <mergeCell ref="A46:N46"/>
    <mergeCell ref="B47:M49"/>
    <mergeCell ref="A51:N51"/>
    <mergeCell ref="B52:M54"/>
    <mergeCell ref="A37:F39"/>
    <mergeCell ref="G37:N39"/>
  </mergeCells>
  <phoneticPr fontId="1"/>
  <pageMargins left="0.9055118110236221" right="0" top="0.15748031496062992" bottom="0.15748031496062992" header="0" footer="0"/>
  <pageSetup paperSize="9" fitToWidth="0" orientation="portrait" horizontalDpi="4294967293"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47">
    <tabColor theme="9" tint="-0.499984740745262"/>
    <pageSetUpPr fitToPage="1"/>
  </sheetPr>
  <dimension ref="A1:AB54"/>
  <sheetViews>
    <sheetView showWhiteSpace="0" view="pageLayout" topLeftCell="A7" zoomScaleNormal="80" workbookViewId="0">
      <selection activeCell="W43" sqref="W43"/>
    </sheetView>
  </sheetViews>
  <sheetFormatPr defaultColWidth="8.75" defaultRowHeight="13.5"/>
  <cols>
    <col min="1" max="1" width="7.75" customWidth="1"/>
    <col min="2" max="2" width="3.75" customWidth="1"/>
    <col min="3" max="11" width="7.75" customWidth="1"/>
    <col min="15" max="15" width="8.75" customWidth="1"/>
    <col min="17" max="17" width="8.875" customWidth="1"/>
    <col min="18" max="18" width="13.125" bestFit="1" customWidth="1"/>
    <col min="19" max="19" width="9" bestFit="1" customWidth="1"/>
    <col min="20" max="20" width="12.25" bestFit="1" customWidth="1"/>
    <col min="21" max="21" width="9.125" bestFit="1" customWidth="1"/>
    <col min="22" max="22" width="9" bestFit="1" customWidth="1"/>
  </cols>
  <sheetData>
    <row r="1" spans="1:21" ht="30" customHeight="1"/>
    <row r="2" spans="1:21" ht="33" customHeight="1"/>
    <row r="3" spans="1:21">
      <c r="A3" s="107" t="s">
        <v>20</v>
      </c>
      <c r="I3" s="108" t="s">
        <v>21</v>
      </c>
      <c r="K3" s="1" t="s">
        <v>213</v>
      </c>
    </row>
    <row r="4" spans="1:21">
      <c r="A4" s="28"/>
    </row>
    <row r="5" spans="1:21" ht="18.75" customHeight="1">
      <c r="A5" s="28"/>
      <c r="E5" s="10"/>
      <c r="F5" s="8" t="s">
        <v>23</v>
      </c>
      <c r="G5" s="8"/>
      <c r="H5" s="8"/>
      <c r="I5" s="265">
        <f>入力データ!C18</f>
        <v>0</v>
      </c>
      <c r="J5" s="265"/>
      <c r="K5" s="9" t="s">
        <v>24</v>
      </c>
    </row>
    <row r="6" spans="1:21">
      <c r="A6" s="28"/>
    </row>
    <row r="7" spans="1:21">
      <c r="A7" s="28" t="s">
        <v>214</v>
      </c>
    </row>
    <row r="8" spans="1:21">
      <c r="A8" s="28" t="s">
        <v>215</v>
      </c>
    </row>
    <row r="9" spans="1:21" ht="14.25" thickBot="1">
      <c r="A9" s="28" t="s">
        <v>216</v>
      </c>
    </row>
    <row r="10" spans="1:21">
      <c r="A10" s="28" t="s">
        <v>217</v>
      </c>
      <c r="T10" s="532" t="s">
        <v>218</v>
      </c>
    </row>
    <row r="11" spans="1:21">
      <c r="A11" s="535" t="s">
        <v>219</v>
      </c>
      <c r="B11" s="535"/>
      <c r="C11" s="535"/>
      <c r="D11" s="535"/>
      <c r="E11" s="535"/>
      <c r="F11" s="535"/>
      <c r="G11" s="535"/>
      <c r="H11" s="535"/>
      <c r="T11" s="533"/>
    </row>
    <row r="12" spans="1:21">
      <c r="A12" s="535"/>
      <c r="B12" s="535"/>
      <c r="C12" s="535"/>
      <c r="D12" s="535"/>
      <c r="E12" s="535"/>
      <c r="F12" s="535"/>
      <c r="G12" s="535"/>
      <c r="H12" s="535"/>
      <c r="M12" s="536" t="s">
        <v>220</v>
      </c>
      <c r="N12" s="537"/>
      <c r="O12" s="538"/>
      <c r="T12" s="533"/>
    </row>
    <row r="13" spans="1:21" ht="15" thickBot="1">
      <c r="A13" s="81"/>
      <c r="B13" s="81"/>
      <c r="C13" s="81"/>
      <c r="D13" s="81"/>
      <c r="E13" s="81"/>
      <c r="F13" s="81"/>
      <c r="G13" s="81"/>
      <c r="H13" s="81"/>
      <c r="M13" s="539"/>
      <c r="N13" s="540"/>
      <c r="O13" s="541"/>
      <c r="T13" s="534"/>
    </row>
    <row r="14" spans="1:21" ht="18" customHeight="1" thickBot="1">
      <c r="A14" s="542" t="s">
        <v>221</v>
      </c>
      <c r="B14" s="542"/>
      <c r="C14" s="160"/>
      <c r="D14" s="160"/>
      <c r="E14" s="160"/>
      <c r="F14" s="160"/>
      <c r="G14" s="161"/>
      <c r="H14" s="162"/>
      <c r="I14" s="163"/>
      <c r="J14" s="163"/>
      <c r="K14" s="161"/>
      <c r="M14" t="s">
        <v>222</v>
      </c>
      <c r="R14" t="s">
        <v>223</v>
      </c>
      <c r="S14" s="148"/>
      <c r="T14" s="167">
        <v>2</v>
      </c>
      <c r="U14" t="s">
        <v>224</v>
      </c>
    </row>
    <row r="15" spans="1:21" ht="18" customHeight="1" thickBot="1">
      <c r="A15" s="543" t="s">
        <v>225</v>
      </c>
      <c r="B15" s="543"/>
      <c r="C15" s="163"/>
      <c r="D15" s="161"/>
      <c r="E15" s="163"/>
      <c r="F15" s="163"/>
      <c r="G15" s="163"/>
      <c r="H15" s="163"/>
      <c r="I15" s="161"/>
      <c r="J15" s="162"/>
      <c r="K15" s="163"/>
      <c r="M15" s="544" t="s">
        <v>226</v>
      </c>
      <c r="N15" s="544"/>
      <c r="O15" s="544"/>
      <c r="P15" s="544"/>
      <c r="Q15" s="544"/>
      <c r="R15" t="s">
        <v>227</v>
      </c>
      <c r="S15" s="148"/>
      <c r="T15" s="148">
        <v>0</v>
      </c>
    </row>
    <row r="16" spans="1:21" ht="18" customHeight="1">
      <c r="A16" s="543" t="s">
        <v>228</v>
      </c>
      <c r="B16" s="543"/>
      <c r="C16" s="163"/>
      <c r="D16" s="161"/>
      <c r="E16" s="162"/>
      <c r="F16" s="163"/>
      <c r="G16" s="163"/>
      <c r="H16" s="161"/>
      <c r="I16" s="163"/>
      <c r="J16" s="163"/>
      <c r="K16" s="163"/>
      <c r="M16" s="544"/>
      <c r="N16" s="544"/>
      <c r="O16" s="544"/>
      <c r="P16" s="544"/>
      <c r="Q16" s="544"/>
      <c r="R16" t="s">
        <v>229</v>
      </c>
      <c r="S16" s="148"/>
      <c r="T16" s="167">
        <v>2</v>
      </c>
    </row>
    <row r="17" spans="1:28" ht="18" customHeight="1">
      <c r="A17" s="546" t="s">
        <v>230</v>
      </c>
      <c r="B17" s="543"/>
      <c r="C17" s="162"/>
      <c r="D17" s="163"/>
      <c r="E17" s="163"/>
      <c r="F17" s="161"/>
      <c r="G17" s="163"/>
      <c r="H17" s="163"/>
      <c r="I17" s="163"/>
      <c r="J17" s="163"/>
      <c r="K17" s="161"/>
      <c r="M17" t="s">
        <v>231</v>
      </c>
      <c r="S17" s="143"/>
      <c r="T17" s="167">
        <v>6</v>
      </c>
    </row>
    <row r="18" spans="1:28" ht="18" customHeight="1" thickBot="1">
      <c r="A18" s="547" t="s">
        <v>232</v>
      </c>
      <c r="B18" s="548"/>
      <c r="C18" s="163"/>
      <c r="D18" s="163"/>
      <c r="E18" s="161"/>
      <c r="F18" s="162"/>
      <c r="G18" s="163"/>
      <c r="H18" s="163"/>
      <c r="I18" s="161"/>
      <c r="J18" s="163"/>
      <c r="K18" s="163"/>
      <c r="M18" s="39" t="s">
        <v>233</v>
      </c>
      <c r="T18" s="148">
        <v>1</v>
      </c>
      <c r="U18" t="s">
        <v>234</v>
      </c>
    </row>
    <row r="19" spans="1:28" ht="18" customHeight="1" thickBot="1">
      <c r="A19" s="547" t="s">
        <v>235</v>
      </c>
      <c r="B19" s="548"/>
      <c r="C19" s="161"/>
      <c r="D19" s="163"/>
      <c r="E19" s="163"/>
      <c r="F19" s="163"/>
      <c r="G19" s="163"/>
      <c r="H19" s="161"/>
      <c r="I19" s="162"/>
      <c r="J19" s="163"/>
      <c r="K19" s="163"/>
      <c r="M19" s="39" t="s">
        <v>236</v>
      </c>
      <c r="T19" s="148">
        <v>1</v>
      </c>
    </row>
    <row r="20" spans="1:28" ht="18" customHeight="1" thickBot="1">
      <c r="A20" s="547" t="s">
        <v>237</v>
      </c>
      <c r="B20" s="548"/>
      <c r="C20" s="163"/>
      <c r="D20" s="163"/>
      <c r="E20" s="162"/>
      <c r="F20" s="163"/>
      <c r="G20" s="163"/>
      <c r="H20" s="163"/>
      <c r="I20" s="163"/>
      <c r="J20" s="161"/>
      <c r="K20" s="164"/>
      <c r="M20" s="39" t="s">
        <v>238</v>
      </c>
      <c r="T20" s="148">
        <v>2</v>
      </c>
      <c r="U20" t="s">
        <v>239</v>
      </c>
    </row>
    <row r="21" spans="1:28" ht="18" customHeight="1" thickBot="1">
      <c r="A21" s="547" t="s">
        <v>240</v>
      </c>
      <c r="B21" s="548"/>
      <c r="C21" s="163"/>
      <c r="D21" s="163"/>
      <c r="E21" s="163"/>
      <c r="F21" s="161"/>
      <c r="G21" s="162"/>
      <c r="H21" s="163"/>
      <c r="I21" s="163"/>
      <c r="J21" s="161"/>
      <c r="K21" s="163"/>
      <c r="M21" s="39" t="s">
        <v>241</v>
      </c>
      <c r="O21" s="115"/>
      <c r="T21" s="148">
        <v>7</v>
      </c>
    </row>
    <row r="22" spans="1:28" ht="18" customHeight="1" thickBot="1">
      <c r="A22" s="549" t="s">
        <v>242</v>
      </c>
      <c r="B22" s="550"/>
      <c r="C22" s="163"/>
      <c r="D22" s="163"/>
      <c r="E22" s="161"/>
      <c r="F22" s="163"/>
      <c r="G22" s="163"/>
      <c r="H22" s="163"/>
      <c r="I22" s="163"/>
      <c r="J22" s="163"/>
      <c r="K22" s="163"/>
      <c r="M22" s="39" t="s">
        <v>243</v>
      </c>
      <c r="T22" s="143">
        <f>SUM(T14:T21)</f>
        <v>21</v>
      </c>
    </row>
    <row r="23" spans="1:28" ht="18" customHeight="1">
      <c r="A23" s="549" t="s">
        <v>244</v>
      </c>
      <c r="B23" s="550"/>
      <c r="C23" s="163"/>
      <c r="D23" s="163"/>
      <c r="E23" s="163"/>
      <c r="F23" s="163"/>
      <c r="G23" s="161"/>
      <c r="H23" s="163"/>
      <c r="I23" s="163"/>
      <c r="J23" s="163"/>
      <c r="K23" s="163"/>
      <c r="M23" s="39" t="s">
        <v>245</v>
      </c>
    </row>
    <row r="24" spans="1:28" ht="18" customHeight="1">
      <c r="A24" s="549" t="s">
        <v>246</v>
      </c>
      <c r="B24" s="550"/>
      <c r="C24" s="161"/>
      <c r="D24" s="162"/>
      <c r="E24" s="163"/>
      <c r="F24" s="163"/>
      <c r="G24" s="163"/>
      <c r="H24" s="163"/>
      <c r="I24" s="163"/>
      <c r="J24" s="163"/>
      <c r="K24" s="163"/>
      <c r="M24" s="157" t="s">
        <v>247</v>
      </c>
      <c r="N24" s="158"/>
      <c r="O24" s="158"/>
      <c r="P24" s="158"/>
      <c r="Q24" s="158"/>
      <c r="T24" s="544"/>
      <c r="U24" s="544"/>
      <c r="V24" s="544"/>
      <c r="W24" s="544"/>
      <c r="X24" s="544"/>
      <c r="Y24" s="544"/>
      <c r="Z24" s="544"/>
      <c r="AA24" s="544"/>
      <c r="AB24" s="544"/>
    </row>
    <row r="25" spans="1:28" ht="18" customHeight="1">
      <c r="A25" s="551" t="s">
        <v>248</v>
      </c>
      <c r="B25" s="551"/>
      <c r="C25" s="205">
        <f ca="1">YEAR(TODAY())</f>
        <v>2026</v>
      </c>
      <c r="D25" s="205">
        <f ca="1">YEAR(TODAY())+1</f>
        <v>2027</v>
      </c>
      <c r="E25" s="205">
        <f ca="1">YEAR(TODAY())+2</f>
        <v>2028</v>
      </c>
      <c r="F25" s="205">
        <f ca="1">YEAR(TODAY())+3</f>
        <v>2029</v>
      </c>
      <c r="G25" s="205">
        <f ca="1">YEAR(TODAY())+4</f>
        <v>2030</v>
      </c>
      <c r="H25" s="205">
        <f ca="1">YEAR(TODAY())+5</f>
        <v>2031</v>
      </c>
      <c r="I25" s="205">
        <f ca="1">YEAR(TODAY())+6</f>
        <v>2032</v>
      </c>
      <c r="J25" s="205">
        <f ca="1">YEAR(TODAY())+7</f>
        <v>2033</v>
      </c>
      <c r="K25" s="206">
        <f ca="1">YEAR(TODAY())+8</f>
        <v>2034</v>
      </c>
      <c r="M25" s="158"/>
      <c r="N25" s="158" t="s">
        <v>249</v>
      </c>
      <c r="O25" s="158"/>
      <c r="P25" s="158"/>
      <c r="Q25" s="158"/>
      <c r="T25" s="544"/>
      <c r="U25" s="544"/>
      <c r="V25" s="544"/>
      <c r="W25" s="544"/>
      <c r="X25" s="544"/>
      <c r="Y25" s="544"/>
      <c r="Z25" s="544"/>
      <c r="AA25" s="544"/>
      <c r="AB25" s="544"/>
    </row>
    <row r="27" spans="1:28" ht="13.5" customHeight="1">
      <c r="M27" s="544" t="s">
        <v>250</v>
      </c>
      <c r="N27" s="544"/>
      <c r="O27" s="544"/>
      <c r="P27" s="544"/>
      <c r="Q27" s="544"/>
      <c r="R27" s="544"/>
      <c r="S27" s="544"/>
      <c r="T27" s="544"/>
      <c r="U27" s="544"/>
    </row>
    <row r="28" spans="1:28" ht="13.5" customHeight="1">
      <c r="A28" s="297" t="s">
        <v>251</v>
      </c>
      <c r="B28" s="297"/>
      <c r="C28" s="297"/>
      <c r="D28" s="297"/>
      <c r="E28" s="297"/>
      <c r="M28" s="544"/>
      <c r="N28" s="544"/>
      <c r="O28" s="544"/>
      <c r="P28" s="544"/>
      <c r="Q28" s="544"/>
      <c r="R28" s="544"/>
      <c r="S28" s="544"/>
      <c r="T28" s="544"/>
      <c r="U28" s="544"/>
    </row>
    <row r="29" spans="1:28" ht="13.5" customHeight="1" thickBot="1">
      <c r="A29" s="552"/>
      <c r="B29" s="552"/>
      <c r="C29" s="552"/>
      <c r="D29" s="552"/>
      <c r="E29" s="552"/>
    </row>
    <row r="30" spans="1:28" ht="18" customHeight="1" thickBot="1">
      <c r="A30" s="553" t="s">
        <v>252</v>
      </c>
      <c r="B30" s="553"/>
      <c r="C30" s="553"/>
      <c r="D30" s="553"/>
      <c r="E30" s="207" t="s">
        <v>253</v>
      </c>
      <c r="F30" s="545" t="str">
        <f>IF(N30="","",CONCATENATE(N30,"年"))</f>
        <v>2021年</v>
      </c>
      <c r="G30" s="545"/>
      <c r="H30" s="94"/>
      <c r="I30" s="94"/>
      <c r="M30" s="147" t="s">
        <v>254</v>
      </c>
      <c r="N30" s="140">
        <v>2021</v>
      </c>
      <c r="O30" s="141"/>
      <c r="P30" s="1" t="s">
        <v>255</v>
      </c>
    </row>
    <row r="31" spans="1:28" ht="18" customHeight="1" thickBot="1">
      <c r="A31" s="554" t="s">
        <v>256</v>
      </c>
      <c r="B31" s="554"/>
      <c r="C31" s="554"/>
      <c r="D31" s="554"/>
      <c r="E31" s="173" t="s">
        <v>257</v>
      </c>
      <c r="F31" s="545" t="str">
        <f>IF(N31="","",CONCATENATE(N31,"年"))</f>
        <v/>
      </c>
      <c r="G31" s="545"/>
      <c r="M31" s="146" t="s">
        <v>258</v>
      </c>
      <c r="N31" s="140"/>
      <c r="O31" s="142"/>
    </row>
    <row r="32" spans="1:28" ht="18" customHeight="1" thickBot="1">
      <c r="A32" s="554" t="s">
        <v>259</v>
      </c>
      <c r="B32" s="554"/>
      <c r="C32" s="554"/>
      <c r="D32" s="554"/>
      <c r="E32" s="173" t="s">
        <v>260</v>
      </c>
      <c r="F32" s="545" t="str">
        <f>IF(N32="","",CONCATENATE(N32,"年"))</f>
        <v/>
      </c>
      <c r="G32" s="545"/>
      <c r="M32" s="146" t="s">
        <v>261</v>
      </c>
      <c r="N32" s="140"/>
      <c r="O32" s="142"/>
    </row>
    <row r="34" spans="1:22">
      <c r="M34" s="544" t="s">
        <v>262</v>
      </c>
      <c r="N34" s="544"/>
      <c r="O34" s="544"/>
      <c r="P34" s="544"/>
      <c r="Q34" s="544"/>
      <c r="R34" s="544"/>
      <c r="S34" s="544"/>
    </row>
    <row r="35" spans="1:22" ht="13.5" customHeight="1">
      <c r="A35" s="297" t="s">
        <v>263</v>
      </c>
      <c r="B35" s="297"/>
      <c r="C35" s="297"/>
      <c r="D35" s="297"/>
      <c r="E35" s="297"/>
      <c r="M35" s="544"/>
      <c r="N35" s="544"/>
      <c r="O35" s="544"/>
      <c r="P35" s="544"/>
      <c r="Q35" s="544"/>
      <c r="R35" s="544"/>
      <c r="S35" s="544"/>
    </row>
    <row r="36" spans="1:22" ht="13.5" customHeight="1" thickBot="1">
      <c r="A36" s="297"/>
      <c r="B36" s="297"/>
      <c r="C36" s="552"/>
      <c r="D36" s="552"/>
      <c r="E36" s="552"/>
    </row>
    <row r="37" spans="1:22" ht="18" customHeight="1" thickBot="1">
      <c r="A37" s="219">
        <f ca="1">YEAR(TODAY())</f>
        <v>2026</v>
      </c>
      <c r="B37" s="204" t="s">
        <v>26</v>
      </c>
      <c r="C37" s="559" t="str">
        <f ca="1">LOOKUP('9'!N37,未来のストーリー!A3:A14,未来のストーリー!B3:B13)</f>
        <v>創造</v>
      </c>
      <c r="D37" s="560"/>
      <c r="E37" s="561" t="str">
        <f>LOOKUP(N37,未来のストーリー!A3:A14,未来のストーリー!C3:C14)</f>
        <v>楽しいことと繋がりやすく、小さな変化が訪れる年</v>
      </c>
      <c r="F37" s="562"/>
      <c r="G37" s="562"/>
      <c r="H37" s="562"/>
      <c r="I37" s="562"/>
      <c r="J37" s="562"/>
      <c r="K37" s="563"/>
      <c r="M37" s="62" t="s">
        <v>264</v>
      </c>
      <c r="N37" s="140">
        <v>3</v>
      </c>
      <c r="O37" s="142"/>
      <c r="U37" s="568" t="s">
        <v>265</v>
      </c>
    </row>
    <row r="38" spans="1:22" ht="18" customHeight="1" thickBot="1">
      <c r="A38" s="202">
        <f ca="1">YEAR(TODAY())+1</f>
        <v>2027</v>
      </c>
      <c r="B38" s="193" t="s">
        <v>26</v>
      </c>
      <c r="C38" s="564" t="e">
        <f>LOOKUP('9'!N38,未来のストーリー!A3:A14,未来のストーリー!B3:B13)</f>
        <v>#N/A</v>
      </c>
      <c r="D38" s="565"/>
      <c r="E38" s="566" t="e">
        <f>LOOKUP(N38,未来のストーリー!A3:A14,未来のストーリー!C3:C14)</f>
        <v>#N/A</v>
      </c>
      <c r="F38" s="562"/>
      <c r="G38" s="562"/>
      <c r="H38" s="562"/>
      <c r="I38" s="562"/>
      <c r="J38" s="562"/>
      <c r="K38" s="563"/>
      <c r="M38" s="62" t="s">
        <v>266</v>
      </c>
      <c r="N38" s="140"/>
      <c r="O38" s="142"/>
      <c r="U38" s="569"/>
    </row>
    <row r="39" spans="1:22" ht="18" customHeight="1" thickBot="1">
      <c r="A39" s="203">
        <f ca="1">YEAR(TODAY())+2</f>
        <v>2028</v>
      </c>
      <c r="B39" s="194" t="s">
        <v>26</v>
      </c>
      <c r="C39" s="564" t="e">
        <f>LOOKUP('9'!N39,未来のストーリー!A3:A14,未来のストーリー!B3:B13)</f>
        <v>#N/A</v>
      </c>
      <c r="D39" s="565"/>
      <c r="E39" s="566" t="e">
        <f>LOOKUP(N39,未来のストーリー!A3:A14,未来のストーリー!C3:C14)</f>
        <v>#N/A</v>
      </c>
      <c r="F39" s="562"/>
      <c r="G39" s="562"/>
      <c r="H39" s="562"/>
      <c r="I39" s="562"/>
      <c r="J39" s="562"/>
      <c r="K39" s="563"/>
      <c r="M39" s="62" t="s">
        <v>267</v>
      </c>
      <c r="N39" s="140"/>
      <c r="O39" s="142"/>
      <c r="U39" s="569"/>
    </row>
    <row r="40" spans="1:22" ht="13.5" customHeight="1" thickBot="1">
      <c r="U40" s="148">
        <v>2</v>
      </c>
      <c r="V40" t="s">
        <v>224</v>
      </c>
    </row>
    <row r="41" spans="1:22" ht="14.25" thickBot="1">
      <c r="M41" s="105"/>
      <c r="U41" s="148">
        <v>0</v>
      </c>
    </row>
    <row r="42" spans="1:22" ht="13.5" customHeight="1" thickBot="1">
      <c r="A42" s="297" t="s">
        <v>268</v>
      </c>
      <c r="B42" s="297"/>
      <c r="C42" s="297"/>
      <c r="D42" s="297"/>
      <c r="E42" s="297"/>
      <c r="M42" s="1" t="s">
        <v>269</v>
      </c>
      <c r="N42" s="224"/>
      <c r="O42" s="224"/>
      <c r="P42" s="224"/>
      <c r="Q42" s="224"/>
      <c r="R42" s="224"/>
      <c r="S42" s="224"/>
      <c r="T42" s="224"/>
      <c r="U42" s="148">
        <v>2</v>
      </c>
    </row>
    <row r="43" spans="1:22" ht="13.5" customHeight="1" thickBot="1">
      <c r="A43" s="552"/>
      <c r="B43" s="552"/>
      <c r="C43" s="552"/>
      <c r="D43" s="552"/>
      <c r="E43" s="552"/>
      <c r="M43" s="224" t="s">
        <v>270</v>
      </c>
      <c r="N43" s="224"/>
      <c r="O43" s="224"/>
      <c r="P43" s="224"/>
      <c r="Q43" s="224"/>
      <c r="R43" s="224"/>
      <c r="S43" s="224"/>
      <c r="T43" s="224"/>
      <c r="U43" s="148">
        <v>6</v>
      </c>
    </row>
    <row r="44" spans="1:22" ht="19.899999999999999" customHeight="1" thickBot="1">
      <c r="A44" s="195" t="s">
        <v>271</v>
      </c>
      <c r="B44" s="567" t="str">
        <f>LOOKUP('9'!N44,未来のストーリー!A18:A28,未来のストーリー!B18:B28)</f>
        <v>現実をしっかり見つめ、現状を受け入れる・自分のスペースを保つ</v>
      </c>
      <c r="C44" s="567"/>
      <c r="D44" s="567"/>
      <c r="E44" s="567"/>
      <c r="F44" s="555"/>
      <c r="G44" s="199" t="s">
        <v>272</v>
      </c>
      <c r="H44" s="556" t="e">
        <f>LOOKUP('9'!P44,未来のストーリー!A30:A40,未来のストーリー!B30:B40)</f>
        <v>#N/A</v>
      </c>
      <c r="I44" s="557"/>
      <c r="J44" s="557"/>
      <c r="K44" s="558"/>
      <c r="M44" s="62" t="s">
        <v>273</v>
      </c>
      <c r="N44" s="139">
        <v>4</v>
      </c>
      <c r="O44" s="95" t="s">
        <v>274</v>
      </c>
      <c r="P44" s="139"/>
      <c r="U44" s="167">
        <v>1</v>
      </c>
      <c r="V44" t="s">
        <v>234</v>
      </c>
    </row>
    <row r="45" spans="1:22" ht="19.899999999999999" customHeight="1" thickBot="1">
      <c r="A45" s="196" t="s">
        <v>275</v>
      </c>
      <c r="B45" s="555" t="str">
        <f>LOOKUP('9'!N45,未来のストーリー!A18:A28,未来のストーリー!B18:B28)</f>
        <v>新しい変化を取り入れスピードにのる・交流の場に出向く</v>
      </c>
      <c r="C45" s="555"/>
      <c r="D45" s="555"/>
      <c r="E45" s="555"/>
      <c r="F45" s="555"/>
      <c r="G45" s="200" t="s">
        <v>276</v>
      </c>
      <c r="H45" s="556" t="e">
        <f>LOOKUP('9'!P45,未来のストーリー!A30:A40,未来のストーリー!B30:B40)</f>
        <v>#N/A</v>
      </c>
      <c r="I45" s="557"/>
      <c r="J45" s="557"/>
      <c r="K45" s="558"/>
      <c r="M45" s="62" t="s">
        <v>277</v>
      </c>
      <c r="N45" s="139">
        <v>5</v>
      </c>
      <c r="O45" s="95" t="s">
        <v>278</v>
      </c>
      <c r="P45" s="139"/>
      <c r="Q45" s="144" t="s">
        <v>279</v>
      </c>
      <c r="R45" s="148"/>
      <c r="S45" s="144" t="s">
        <v>280</v>
      </c>
      <c r="T45" s="143"/>
      <c r="U45" s="167">
        <v>0</v>
      </c>
    </row>
    <row r="46" spans="1:22" ht="19.899999999999999" customHeight="1" thickBot="1">
      <c r="A46" s="197" t="s">
        <v>281</v>
      </c>
      <c r="B46" s="555" t="str">
        <f>LOOKUP('9'!N46,未来のストーリー!A18:A28,未来のストーリー!B18:B28)</f>
        <v>専門的な知識を学び、インプットにあてる・本を読む</v>
      </c>
      <c r="C46" s="555"/>
      <c r="D46" s="555"/>
      <c r="E46" s="555"/>
      <c r="F46" s="555"/>
      <c r="G46" s="201" t="s">
        <v>282</v>
      </c>
      <c r="H46" s="556" t="e">
        <f>LOOKUP('9'!P46,未来のストーリー!A30:A40,未来のストーリー!B30:B40)</f>
        <v>#N/A</v>
      </c>
      <c r="I46" s="557"/>
      <c r="J46" s="557"/>
      <c r="K46" s="558"/>
      <c r="M46" s="62" t="s">
        <v>283</v>
      </c>
      <c r="N46" s="139">
        <v>7</v>
      </c>
      <c r="O46" s="95" t="s">
        <v>284</v>
      </c>
      <c r="P46" s="139"/>
      <c r="Q46" s="144" t="s">
        <v>227</v>
      </c>
      <c r="R46" s="143"/>
      <c r="S46" s="220" t="s">
        <v>285</v>
      </c>
      <c r="T46" s="145"/>
      <c r="U46" s="167">
        <v>3</v>
      </c>
      <c r="V46" t="s">
        <v>286</v>
      </c>
    </row>
    <row r="47" spans="1:22" ht="19.899999999999999" customHeight="1" thickBot="1">
      <c r="A47" s="196" t="s">
        <v>287</v>
      </c>
      <c r="B47" s="555" t="str">
        <f>LOOKUP('9'!N47,未来のストーリー!A18:A28,未来のストーリー!B18:B28)</f>
        <v>思いっきり豊かさ、充実を味わう・喜んで受け取る</v>
      </c>
      <c r="C47" s="555"/>
      <c r="D47" s="555"/>
      <c r="E47" s="555"/>
      <c r="F47" s="555"/>
      <c r="G47" s="199" t="s">
        <v>288</v>
      </c>
      <c r="H47" s="556" t="e">
        <f>LOOKUP('9'!P47,未来のストーリー!A30:A40,未来のストーリー!B30:B40)</f>
        <v>#N/A</v>
      </c>
      <c r="I47" s="557"/>
      <c r="J47" s="557"/>
      <c r="K47" s="558"/>
      <c r="M47" s="62" t="s">
        <v>289</v>
      </c>
      <c r="N47" s="139">
        <v>8</v>
      </c>
      <c r="O47" s="95" t="s">
        <v>290</v>
      </c>
      <c r="P47" s="139"/>
      <c r="Q47" s="144" t="s">
        <v>6</v>
      </c>
      <c r="R47" s="145"/>
      <c r="S47" s="144" t="s">
        <v>6</v>
      </c>
      <c r="T47" s="145"/>
      <c r="U47" s="148"/>
    </row>
    <row r="48" spans="1:22" ht="19.899999999999999" customHeight="1" thickBot="1">
      <c r="A48" s="198" t="s">
        <v>291</v>
      </c>
      <c r="B48" s="555" t="str">
        <f>LOOKUP('9'!N48,未来のストーリー!A18:A28,未来のストーリー!B18:B28)</f>
        <v>不要なもの、古いと思うものを手放す・データを整理する</v>
      </c>
      <c r="C48" s="555"/>
      <c r="D48" s="555"/>
      <c r="E48" s="555"/>
      <c r="F48" s="555"/>
      <c r="G48" s="200" t="s">
        <v>292</v>
      </c>
      <c r="H48" s="556" t="e">
        <f>LOOKUP('9'!P48,未来のストーリー!A30:A40,未来のストーリー!B30:B40)</f>
        <v>#N/A</v>
      </c>
      <c r="I48" s="557"/>
      <c r="J48" s="557"/>
      <c r="K48" s="558"/>
      <c r="M48" s="62" t="s">
        <v>293</v>
      </c>
      <c r="N48" s="139">
        <v>9</v>
      </c>
      <c r="O48" s="95" t="s">
        <v>294</v>
      </c>
      <c r="P48" s="208"/>
      <c r="Q48" s="144" t="s">
        <v>295</v>
      </c>
      <c r="R48" s="145"/>
      <c r="S48" s="144" t="s">
        <v>295</v>
      </c>
      <c r="T48" s="145"/>
      <c r="U48" s="143">
        <f>SUM(U40:U47)</f>
        <v>14</v>
      </c>
    </row>
    <row r="49" spans="1:22" ht="19.899999999999999" customHeight="1" thickBot="1">
      <c r="A49" s="197" t="s">
        <v>296</v>
      </c>
      <c r="B49" s="555" t="str">
        <f>LOOKUP('9'!N49,未来のストーリー!A18:A28,未来のストーリー!B18:B28)</f>
        <v>新たなことにチャレンジする・計画を実行する</v>
      </c>
      <c r="C49" s="555"/>
      <c r="D49" s="555"/>
      <c r="E49" s="555"/>
      <c r="F49" s="555"/>
      <c r="G49" s="201" t="s">
        <v>297</v>
      </c>
      <c r="H49" s="556" t="e">
        <f>LOOKUP('9'!P49,未来のストーリー!A30:A40,未来のストーリー!B30:B40)</f>
        <v>#N/A</v>
      </c>
      <c r="I49" s="557"/>
      <c r="J49" s="557"/>
      <c r="K49" s="558"/>
      <c r="M49" s="62" t="s">
        <v>298</v>
      </c>
      <c r="N49" s="139">
        <v>1</v>
      </c>
      <c r="O49" s="95" t="s">
        <v>299</v>
      </c>
      <c r="P49" s="139"/>
      <c r="Q49" t="s">
        <v>300</v>
      </c>
      <c r="U49" s="58">
        <f>MOD(R45+R46+R47-1,9)+10</f>
        <v>18</v>
      </c>
      <c r="V49" s="58">
        <f>MOD(T45+T46+T47-1,9)+10</f>
        <v>18</v>
      </c>
    </row>
    <row r="50" spans="1:22">
      <c r="N50" t="s">
        <v>301</v>
      </c>
    </row>
    <row r="51" spans="1:22">
      <c r="M51" s="100"/>
    </row>
    <row r="52" spans="1:22">
      <c r="D52" s="13" t="s">
        <v>95</v>
      </c>
      <c r="E52" s="13"/>
      <c r="F52" s="13"/>
      <c r="G52" s="13"/>
      <c r="H52" s="13"/>
    </row>
    <row r="54" spans="1:22" ht="30" customHeight="1"/>
  </sheetData>
  <sheetProtection selectLockedCells="1"/>
  <mergeCells count="48">
    <mergeCell ref="U37:U39"/>
    <mergeCell ref="B47:F47"/>
    <mergeCell ref="H47:K47"/>
    <mergeCell ref="B48:F48"/>
    <mergeCell ref="H48:K48"/>
    <mergeCell ref="H45:K45"/>
    <mergeCell ref="B49:F49"/>
    <mergeCell ref="H49:K49"/>
    <mergeCell ref="M34:S35"/>
    <mergeCell ref="A35:E36"/>
    <mergeCell ref="B46:F46"/>
    <mergeCell ref="H46:K46"/>
    <mergeCell ref="C37:D37"/>
    <mergeCell ref="E37:K37"/>
    <mergeCell ref="C38:D38"/>
    <mergeCell ref="E38:K38"/>
    <mergeCell ref="C39:D39"/>
    <mergeCell ref="E39:K39"/>
    <mergeCell ref="A42:E43"/>
    <mergeCell ref="B44:F44"/>
    <mergeCell ref="H44:K44"/>
    <mergeCell ref="B45:F45"/>
    <mergeCell ref="A30:D30"/>
    <mergeCell ref="A31:D31"/>
    <mergeCell ref="F31:G31"/>
    <mergeCell ref="A32:D32"/>
    <mergeCell ref="F32:G32"/>
    <mergeCell ref="A15:B15"/>
    <mergeCell ref="M15:Q16"/>
    <mergeCell ref="A16:B16"/>
    <mergeCell ref="F30:G30"/>
    <mergeCell ref="T24:AB25"/>
    <mergeCell ref="A17:B17"/>
    <mergeCell ref="A18:B18"/>
    <mergeCell ref="A19:B19"/>
    <mergeCell ref="A20:B20"/>
    <mergeCell ref="A21:B21"/>
    <mergeCell ref="A22:B22"/>
    <mergeCell ref="M27:U28"/>
    <mergeCell ref="A23:B23"/>
    <mergeCell ref="A24:B24"/>
    <mergeCell ref="A25:B25"/>
    <mergeCell ref="A28:E29"/>
    <mergeCell ref="T10:T13"/>
    <mergeCell ref="I5:J5"/>
    <mergeCell ref="A11:H12"/>
    <mergeCell ref="M12:O13"/>
    <mergeCell ref="A14:B14"/>
  </mergeCells>
  <phoneticPr fontId="1"/>
  <pageMargins left="0.90551181102362199" right="0.51181102362204722" top="0.15748031496062992" bottom="0.15748031496062992" header="0" footer="0"/>
  <pageSetup paperSize="9" fitToWidth="0" orientation="portrait" horizontalDpi="4294967293" r:id="rId1"/>
  <drawing r:id="rId2"/>
  <legacyDrawing r:id="rId3"/>
  <controls>
    <mc:AlternateContent xmlns:mc="http://schemas.openxmlformats.org/markup-compatibility/2006">
      <mc:Choice Requires="x14">
        <control shapeId="67594" r:id="rId4" name="新規入力">
          <controlPr defaultSize="0" autoLine="0" r:id="rId5">
            <anchor moveWithCells="1">
              <from>
                <xdr:col>17</xdr:col>
                <xdr:colOff>38100</xdr:colOff>
                <xdr:row>8</xdr:row>
                <xdr:rowOff>57150</xdr:rowOff>
              </from>
              <to>
                <xdr:col>18</xdr:col>
                <xdr:colOff>390525</xdr:colOff>
                <xdr:row>10</xdr:row>
                <xdr:rowOff>161925</xdr:rowOff>
              </to>
            </anchor>
          </controlPr>
        </control>
      </mc:Choice>
      <mc:Fallback>
        <control shapeId="67594" r:id="rId4" name="新規入力"/>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tabColor rgb="FFFF0000"/>
    <pageSetUpPr fitToPage="1"/>
  </sheetPr>
  <dimension ref="A1:J55"/>
  <sheetViews>
    <sheetView zoomScaleNormal="100" zoomScalePageLayoutView="70" workbookViewId="0">
      <selection activeCell="C13" sqref="C13:C15"/>
    </sheetView>
  </sheetViews>
  <sheetFormatPr defaultRowHeight="13.5"/>
  <cols>
    <col min="2" max="2" width="11.375" customWidth="1"/>
    <col min="3" max="3" width="6.375" customWidth="1"/>
    <col min="5" max="5" width="6.375" customWidth="1"/>
  </cols>
  <sheetData>
    <row r="1" spans="1:10" ht="30" customHeight="1"/>
    <row r="2" spans="1:10" ht="33" customHeight="1"/>
    <row r="3" spans="1:10">
      <c r="A3" s="107" t="s">
        <v>20</v>
      </c>
      <c r="H3" s="108" t="s">
        <v>21</v>
      </c>
      <c r="J3" s="1" t="s">
        <v>302</v>
      </c>
    </row>
    <row r="4" spans="1:10">
      <c r="A4" s="28"/>
    </row>
    <row r="5" spans="1:10" ht="18.75" customHeight="1">
      <c r="A5" s="28"/>
      <c r="E5" s="7" t="s">
        <v>23</v>
      </c>
      <c r="F5" s="8"/>
      <c r="G5" s="8"/>
      <c r="H5" s="265">
        <f>入力データ!C18</f>
        <v>0</v>
      </c>
      <c r="I5" s="265"/>
      <c r="J5" s="9" t="s">
        <v>24</v>
      </c>
    </row>
    <row r="6" spans="1:10">
      <c r="A6" s="28"/>
    </row>
    <row r="7" spans="1:10">
      <c r="A7" s="107" t="s">
        <v>303</v>
      </c>
    </row>
    <row r="9" spans="1:10" ht="13.5" customHeight="1">
      <c r="A9" s="579" t="s">
        <v>304</v>
      </c>
      <c r="B9" s="580"/>
      <c r="C9" s="580"/>
      <c r="D9" s="580"/>
      <c r="E9" s="580"/>
      <c r="F9" s="82"/>
      <c r="G9" s="82"/>
    </row>
    <row r="10" spans="1:10" ht="13.5" customHeight="1">
      <c r="A10" s="579"/>
      <c r="B10" s="580"/>
      <c r="C10" s="580"/>
      <c r="D10" s="580"/>
      <c r="E10" s="580"/>
      <c r="F10" s="82"/>
      <c r="G10" s="82"/>
    </row>
    <row r="12" spans="1:10">
      <c r="A12" s="581"/>
      <c r="B12" s="582"/>
      <c r="C12" s="583"/>
      <c r="D12" s="545" t="s">
        <v>305</v>
      </c>
      <c r="E12" s="545"/>
    </row>
    <row r="13" spans="1:10" ht="20.100000000000001" customHeight="1">
      <c r="A13" s="572" t="s">
        <v>306</v>
      </c>
      <c r="B13" s="352" t="s">
        <v>4</v>
      </c>
      <c r="C13" s="367"/>
      <c r="D13" s="578" t="e">
        <f>LOOKUP(C13,ｶﾗｰ・ｱﾛﾏ・ｽﾄｰﾝ!A3:A14,ｶﾗｰ・ｱﾛﾏ・ｽﾄｰﾝ!B3:B14)</f>
        <v>#N/A</v>
      </c>
      <c r="E13" s="578"/>
    </row>
    <row r="14" spans="1:10" ht="20.100000000000001" customHeight="1">
      <c r="A14" s="573"/>
      <c r="B14" s="352"/>
      <c r="C14" s="367"/>
      <c r="D14" s="578"/>
      <c r="E14" s="578"/>
    </row>
    <row r="15" spans="1:10" ht="20.100000000000001" customHeight="1">
      <c r="A15" s="573"/>
      <c r="B15" s="354"/>
      <c r="C15" s="570"/>
      <c r="D15" s="578"/>
      <c r="E15" s="578"/>
    </row>
    <row r="16" spans="1:10" ht="20.100000000000001" customHeight="1">
      <c r="A16" s="573"/>
      <c r="B16" s="350" t="s">
        <v>38</v>
      </c>
      <c r="C16" s="571" t="str">
        <f>入力データ!P19</f>
        <v/>
      </c>
      <c r="D16" s="578" t="e">
        <f>LOOKUP(C16,ｶﾗｰ・ｱﾛﾏ・ｽﾄｰﾝ!A3:A14,ｶﾗｰ・ｱﾛﾏ・ｽﾄｰﾝ!B3:B14)</f>
        <v>#N/A</v>
      </c>
      <c r="E16" s="578"/>
    </row>
    <row r="17" spans="1:5" ht="20.100000000000001" customHeight="1">
      <c r="A17" s="574"/>
      <c r="B17" s="352"/>
      <c r="C17" s="367"/>
      <c r="D17" s="578"/>
      <c r="E17" s="578"/>
    </row>
    <row r="18" spans="1:5" ht="20.100000000000001" customHeight="1">
      <c r="A18" s="399" t="s">
        <v>307</v>
      </c>
      <c r="B18" s="354"/>
      <c r="C18" s="570"/>
      <c r="D18" s="578"/>
      <c r="E18" s="578"/>
    </row>
    <row r="19" spans="1:5" ht="20.100000000000001" customHeight="1">
      <c r="A19" s="399"/>
      <c r="B19" s="350" t="s">
        <v>6</v>
      </c>
      <c r="C19" s="571" t="str">
        <f>入力データ!Q19</f>
        <v/>
      </c>
      <c r="D19" s="578" t="e">
        <f>LOOKUP(C19,ｶﾗｰ・ｱﾛﾏ・ｽﾄｰﾝ!A3:A14,ｶﾗｰ・ｱﾛﾏ・ｽﾄｰﾝ!B3:B14)</f>
        <v>#N/A</v>
      </c>
      <c r="E19" s="578"/>
    </row>
    <row r="20" spans="1:5" ht="20.100000000000001" customHeight="1">
      <c r="A20" s="399"/>
      <c r="B20" s="352"/>
      <c r="C20" s="367"/>
      <c r="D20" s="578"/>
      <c r="E20" s="578"/>
    </row>
    <row r="21" spans="1:5" ht="20.100000000000001" customHeight="1">
      <c r="A21" s="399"/>
      <c r="B21" s="354"/>
      <c r="C21" s="570"/>
      <c r="D21" s="578"/>
      <c r="E21" s="578"/>
    </row>
    <row r="22" spans="1:5" ht="20.100000000000001" customHeight="1">
      <c r="A22" s="399"/>
      <c r="B22" s="350" t="s">
        <v>7</v>
      </c>
      <c r="C22" s="571" t="str">
        <f>入力データ!R19</f>
        <v/>
      </c>
      <c r="D22" s="578" t="e">
        <f>LOOKUP(C22,ｶﾗｰ・ｱﾛﾏ・ｽﾄｰﾝ!A3:A14,ｶﾗｰ・ｱﾛﾏ・ｽﾄｰﾝ!B3:B14)</f>
        <v>#N/A</v>
      </c>
      <c r="E22" s="578"/>
    </row>
    <row r="23" spans="1:5" ht="20.100000000000001" customHeight="1">
      <c r="A23" s="575" t="s">
        <v>308</v>
      </c>
      <c r="B23" s="352"/>
      <c r="C23" s="367"/>
      <c r="D23" s="578"/>
      <c r="E23" s="578"/>
    </row>
    <row r="24" spans="1:5" ht="20.100000000000001" customHeight="1">
      <c r="A24" s="576"/>
      <c r="B24" s="354"/>
      <c r="C24" s="570"/>
      <c r="D24" s="578"/>
      <c r="E24" s="578"/>
    </row>
    <row r="25" spans="1:5" ht="20.100000000000001" customHeight="1">
      <c r="A25" s="576"/>
      <c r="B25" s="350" t="s">
        <v>8</v>
      </c>
      <c r="C25" s="571" t="str">
        <f>入力データ!S19</f>
        <v/>
      </c>
      <c r="D25" s="578" t="e">
        <f>LOOKUP(C25,ｶﾗｰ・ｱﾛﾏ・ｽﾄｰﾝ!A3:A14,ｶﾗｰ・ｱﾛﾏ・ｽﾄｰﾝ!B3:B14)</f>
        <v>#N/A</v>
      </c>
      <c r="E25" s="578"/>
    </row>
    <row r="26" spans="1:5" ht="20.100000000000001" customHeight="1">
      <c r="A26" s="576"/>
      <c r="B26" s="352"/>
      <c r="C26" s="367"/>
      <c r="D26" s="578"/>
      <c r="E26" s="578"/>
    </row>
    <row r="27" spans="1:5" ht="20.100000000000001" customHeight="1">
      <c r="A27" s="577"/>
      <c r="B27" s="354"/>
      <c r="C27" s="570"/>
      <c r="D27" s="578"/>
      <c r="E27" s="578"/>
    </row>
    <row r="29" spans="1:5">
      <c r="A29" s="110" t="s">
        <v>309</v>
      </c>
    </row>
    <row r="30" spans="1:5">
      <c r="A30" s="13"/>
    </row>
    <row r="31" spans="1:5">
      <c r="A31" s="107" t="s">
        <v>310</v>
      </c>
    </row>
    <row r="32" spans="1:5">
      <c r="A32" s="110" t="s">
        <v>311</v>
      </c>
    </row>
    <row r="33" spans="1:1">
      <c r="A33" s="13"/>
    </row>
    <row r="34" spans="1:1">
      <c r="A34" s="13"/>
    </row>
    <row r="35" spans="1:1">
      <c r="A35" s="107" t="s">
        <v>312</v>
      </c>
    </row>
    <row r="36" spans="1:1">
      <c r="A36" s="107" t="s">
        <v>313</v>
      </c>
    </row>
    <row r="37" spans="1:1">
      <c r="A37" s="13"/>
    </row>
    <row r="38" spans="1:1">
      <c r="A38" s="107" t="s">
        <v>314</v>
      </c>
    </row>
    <row r="39" spans="1:1">
      <c r="A39" s="107" t="s">
        <v>315</v>
      </c>
    </row>
    <row r="40" spans="1:1">
      <c r="A40" s="107" t="s">
        <v>316</v>
      </c>
    </row>
    <row r="41" spans="1:1">
      <c r="A41" s="107" t="s">
        <v>317</v>
      </c>
    </row>
    <row r="42" spans="1:1">
      <c r="A42" s="13"/>
    </row>
    <row r="43" spans="1:1">
      <c r="A43" s="13"/>
    </row>
    <row r="44" spans="1:1">
      <c r="A44" s="13"/>
    </row>
    <row r="45" spans="1:1">
      <c r="A45" s="13"/>
    </row>
    <row r="46" spans="1:1">
      <c r="A46" s="13"/>
    </row>
    <row r="47" spans="1:1">
      <c r="A47" s="13"/>
    </row>
    <row r="48" spans="1:1">
      <c r="A48" s="13"/>
    </row>
    <row r="53" spans="3:8">
      <c r="C53" s="13" t="s">
        <v>94</v>
      </c>
      <c r="D53" s="13"/>
      <c r="E53" s="13"/>
      <c r="F53" s="13"/>
      <c r="G53" s="13"/>
      <c r="H53" s="13"/>
    </row>
    <row r="55" spans="3:8" ht="30" customHeight="1"/>
  </sheetData>
  <sheetProtection selectLockedCells="1"/>
  <mergeCells count="22">
    <mergeCell ref="B22:B24"/>
    <mergeCell ref="B25:B27"/>
    <mergeCell ref="A12:C12"/>
    <mergeCell ref="D13:E15"/>
    <mergeCell ref="D16:E18"/>
    <mergeCell ref="D19:E21"/>
    <mergeCell ref="H5:I5"/>
    <mergeCell ref="A18:A22"/>
    <mergeCell ref="C13:C15"/>
    <mergeCell ref="C16:C18"/>
    <mergeCell ref="C19:C21"/>
    <mergeCell ref="C22:C24"/>
    <mergeCell ref="A13:A17"/>
    <mergeCell ref="A23:A27"/>
    <mergeCell ref="C25:C27"/>
    <mergeCell ref="D12:E12"/>
    <mergeCell ref="D22:E24"/>
    <mergeCell ref="A9:E10"/>
    <mergeCell ref="D25:E27"/>
    <mergeCell ref="B13:B15"/>
    <mergeCell ref="B16:B18"/>
    <mergeCell ref="B19:B21"/>
  </mergeCells>
  <phoneticPr fontId="1"/>
  <pageMargins left="0.90551181102362199" right="0.51181102362204722" top="0.15748031496062992" bottom="0.15748031496062992" header="0" footer="0"/>
  <pageSetup paperSize="9" fitToWidth="0" orientation="portrait" horizontalDpi="4294967293"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4">
    <tabColor rgb="FFFF0000"/>
    <pageSetUpPr fitToPage="1"/>
  </sheetPr>
  <dimension ref="A1:K55"/>
  <sheetViews>
    <sheetView topLeftCell="A4" zoomScaleNormal="100" zoomScalePageLayoutView="70" workbookViewId="0">
      <selection activeCell="K56" sqref="K56"/>
    </sheetView>
  </sheetViews>
  <sheetFormatPr defaultRowHeight="13.5"/>
  <cols>
    <col min="2" max="2" width="11.375" customWidth="1"/>
    <col min="3" max="3" width="6.375" customWidth="1"/>
    <col min="5" max="5" width="6.375" customWidth="1"/>
  </cols>
  <sheetData>
    <row r="1" spans="1:11" ht="30" customHeight="1"/>
    <row r="2" spans="1:11" ht="33" customHeight="1"/>
    <row r="3" spans="1:11">
      <c r="A3" s="107" t="s">
        <v>20</v>
      </c>
      <c r="H3" s="108" t="s">
        <v>21</v>
      </c>
      <c r="J3" s="1" t="s">
        <v>302</v>
      </c>
    </row>
    <row r="4" spans="1:11">
      <c r="A4" s="28"/>
    </row>
    <row r="5" spans="1:11" ht="18.75" customHeight="1">
      <c r="A5" s="28"/>
      <c r="E5" s="7" t="s">
        <v>23</v>
      </c>
      <c r="F5" s="8"/>
      <c r="G5" s="8"/>
      <c r="H5" s="265">
        <f>入力データ!C18</f>
        <v>0</v>
      </c>
      <c r="I5" s="265"/>
      <c r="J5" s="9" t="s">
        <v>24</v>
      </c>
    </row>
    <row r="6" spans="1:11">
      <c r="A6" s="28"/>
    </row>
    <row r="7" spans="1:11">
      <c r="A7" s="107" t="s">
        <v>303</v>
      </c>
    </row>
    <row r="9" spans="1:11" ht="13.5" customHeight="1">
      <c r="A9" s="579" t="s">
        <v>318</v>
      </c>
      <c r="B9" s="580"/>
      <c r="C9" s="580"/>
      <c r="D9" s="580"/>
      <c r="E9" s="580"/>
      <c r="F9" s="82"/>
      <c r="G9" s="82"/>
    </row>
    <row r="10" spans="1:11" ht="13.5" customHeight="1">
      <c r="A10" s="579"/>
      <c r="B10" s="580"/>
      <c r="C10" s="580"/>
      <c r="D10" s="580"/>
      <c r="E10" s="580"/>
      <c r="F10" s="82"/>
      <c r="G10" s="82"/>
    </row>
    <row r="12" spans="1:11">
      <c r="A12" s="581"/>
      <c r="B12" s="582"/>
      <c r="C12" s="583"/>
      <c r="D12" s="545" t="s">
        <v>305</v>
      </c>
      <c r="E12" s="545"/>
    </row>
    <row r="13" spans="1:11" ht="20.100000000000001" customHeight="1">
      <c r="A13" s="572" t="s">
        <v>306</v>
      </c>
      <c r="B13" s="352" t="s">
        <v>4</v>
      </c>
      <c r="C13" s="584"/>
      <c r="D13" s="578" t="e">
        <f>LOOKUP(C13,ｶﾗｰ・ｱﾛﾏ・ｽﾄｰﾝ!A3:A14,ｶﾗｰ・ｱﾛﾏ・ｽﾄｰﾝ!B3:B14)</f>
        <v>#N/A</v>
      </c>
      <c r="E13" s="578"/>
    </row>
    <row r="14" spans="1:11" ht="20.100000000000001" customHeight="1">
      <c r="A14" s="573"/>
      <c r="B14" s="352"/>
      <c r="C14" s="584"/>
      <c r="D14" s="578"/>
      <c r="E14" s="578"/>
    </row>
    <row r="15" spans="1:11" ht="20.100000000000001" customHeight="1">
      <c r="A15" s="573"/>
      <c r="B15" s="354"/>
      <c r="C15" s="585"/>
      <c r="D15" s="578"/>
      <c r="E15" s="578"/>
    </row>
    <row r="16" spans="1:11" ht="20.100000000000001" customHeight="1">
      <c r="A16" s="573"/>
      <c r="B16" s="350" t="s">
        <v>38</v>
      </c>
      <c r="C16" s="586"/>
      <c r="D16" s="578" t="e">
        <f>LOOKUP(C16,ｶﾗｰ・ｱﾛﾏ・ｽﾄｰﾝ!A3:A14,ｶﾗｰ・ｱﾛﾏ・ｽﾄｰﾝ!B3:B14)</f>
        <v>#N/A</v>
      </c>
      <c r="E16" s="578"/>
      <c r="K16" s="166" t="s">
        <v>319</v>
      </c>
    </row>
    <row r="17" spans="1:11" ht="20.100000000000001" customHeight="1">
      <c r="A17" s="574"/>
      <c r="B17" s="352"/>
      <c r="C17" s="584"/>
      <c r="D17" s="578"/>
      <c r="E17" s="578"/>
      <c r="K17" s="166" t="s">
        <v>320</v>
      </c>
    </row>
    <row r="18" spans="1:11" ht="20.100000000000001" customHeight="1">
      <c r="A18" s="399" t="s">
        <v>307</v>
      </c>
      <c r="B18" s="354"/>
      <c r="C18" s="585"/>
      <c r="D18" s="578"/>
      <c r="E18" s="578"/>
      <c r="K18" s="166" t="s">
        <v>321</v>
      </c>
    </row>
    <row r="19" spans="1:11" ht="20.100000000000001" customHeight="1">
      <c r="A19" s="399"/>
      <c r="B19" s="350" t="s">
        <v>6</v>
      </c>
      <c r="C19" s="586"/>
      <c r="D19" s="578" t="e">
        <f>LOOKUP(C19,ｶﾗｰ・ｱﾛﾏ・ｽﾄｰﾝ!A3:A14,ｶﾗｰ・ｱﾛﾏ・ｽﾄｰﾝ!B3:B14)</f>
        <v>#N/A</v>
      </c>
      <c r="E19" s="578"/>
    </row>
    <row r="20" spans="1:11" ht="20.100000000000001" customHeight="1">
      <c r="A20" s="399"/>
      <c r="B20" s="352"/>
      <c r="C20" s="584"/>
      <c r="D20" s="578"/>
      <c r="E20" s="578"/>
    </row>
    <row r="21" spans="1:11" ht="20.100000000000001" customHeight="1">
      <c r="A21" s="399"/>
      <c r="B21" s="354"/>
      <c r="C21" s="585"/>
      <c r="D21" s="578"/>
      <c r="E21" s="578"/>
    </row>
    <row r="22" spans="1:11" ht="20.100000000000001" customHeight="1">
      <c r="A22" s="399"/>
      <c r="B22" s="350" t="s">
        <v>7</v>
      </c>
      <c r="C22" s="586"/>
      <c r="D22" s="578" t="e">
        <f>LOOKUP(C22,ｶﾗｰ・ｱﾛﾏ・ｽﾄｰﾝ!A3:A14,ｶﾗｰ・ｱﾛﾏ・ｽﾄｰﾝ!B3:B14)</f>
        <v>#N/A</v>
      </c>
      <c r="E22" s="578"/>
    </row>
    <row r="23" spans="1:11" ht="20.100000000000001" customHeight="1">
      <c r="A23" s="575" t="s">
        <v>308</v>
      </c>
      <c r="B23" s="352"/>
      <c r="C23" s="584"/>
      <c r="D23" s="578"/>
      <c r="E23" s="578"/>
    </row>
    <row r="24" spans="1:11" ht="20.100000000000001" customHeight="1">
      <c r="A24" s="576"/>
      <c r="B24" s="354"/>
      <c r="C24" s="585"/>
      <c r="D24" s="578"/>
      <c r="E24" s="578"/>
    </row>
    <row r="25" spans="1:11" ht="20.100000000000001" customHeight="1">
      <c r="A25" s="576"/>
      <c r="B25" s="350" t="s">
        <v>8</v>
      </c>
      <c r="C25" s="586"/>
      <c r="D25" s="578" t="e">
        <f>LOOKUP(C25,ｶﾗｰ・ｱﾛﾏ・ｽﾄｰﾝ!A3:A14,ｶﾗｰ・ｱﾛﾏ・ｽﾄｰﾝ!B3:B14)</f>
        <v>#N/A</v>
      </c>
      <c r="E25" s="578"/>
    </row>
    <row r="26" spans="1:11" ht="20.100000000000001" customHeight="1">
      <c r="A26" s="576"/>
      <c r="B26" s="352"/>
      <c r="C26" s="584"/>
      <c r="D26" s="578"/>
      <c r="E26" s="578"/>
    </row>
    <row r="27" spans="1:11" ht="20.100000000000001" customHeight="1">
      <c r="A27" s="577"/>
      <c r="B27" s="354"/>
      <c r="C27" s="585"/>
      <c r="D27" s="578"/>
      <c r="E27" s="578"/>
    </row>
    <row r="29" spans="1:11">
      <c r="A29" s="110" t="s">
        <v>309</v>
      </c>
    </row>
    <row r="30" spans="1:11">
      <c r="A30" s="13"/>
    </row>
    <row r="31" spans="1:11">
      <c r="A31" s="107" t="s">
        <v>310</v>
      </c>
    </row>
    <row r="32" spans="1:11">
      <c r="A32" s="110" t="s">
        <v>311</v>
      </c>
    </row>
    <row r="33" spans="1:1">
      <c r="A33" s="13"/>
    </row>
    <row r="34" spans="1:1">
      <c r="A34" s="13"/>
    </row>
    <row r="35" spans="1:1">
      <c r="A35" s="107" t="s">
        <v>312</v>
      </c>
    </row>
    <row r="36" spans="1:1">
      <c r="A36" s="107" t="s">
        <v>313</v>
      </c>
    </row>
    <row r="37" spans="1:1">
      <c r="A37" s="13"/>
    </row>
    <row r="38" spans="1:1">
      <c r="A38" s="107" t="s">
        <v>314</v>
      </c>
    </row>
    <row r="39" spans="1:1">
      <c r="A39" s="107" t="s">
        <v>315</v>
      </c>
    </row>
    <row r="40" spans="1:1">
      <c r="A40" s="107" t="s">
        <v>316</v>
      </c>
    </row>
    <row r="41" spans="1:1">
      <c r="A41" s="107" t="s">
        <v>317</v>
      </c>
    </row>
    <row r="42" spans="1:1">
      <c r="A42" s="13"/>
    </row>
    <row r="43" spans="1:1">
      <c r="A43" s="13"/>
    </row>
    <row r="44" spans="1:1">
      <c r="A44" s="13"/>
    </row>
    <row r="45" spans="1:1">
      <c r="A45" s="13"/>
    </row>
    <row r="46" spans="1:1">
      <c r="A46" s="13"/>
    </row>
    <row r="47" spans="1:1">
      <c r="A47" s="13"/>
    </row>
    <row r="48" spans="1:1">
      <c r="A48" s="13"/>
    </row>
    <row r="53" spans="3:8">
      <c r="C53" s="13" t="s">
        <v>94</v>
      </c>
      <c r="D53" s="13"/>
      <c r="E53" s="13"/>
      <c r="F53" s="13"/>
      <c r="G53" s="13"/>
      <c r="H53" s="13"/>
    </row>
    <row r="55" spans="3:8" ht="30" customHeight="1"/>
  </sheetData>
  <sheetProtection selectLockedCells="1"/>
  <mergeCells count="22">
    <mergeCell ref="C25:C27"/>
    <mergeCell ref="D25:E27"/>
    <mergeCell ref="D16:E18"/>
    <mergeCell ref="A18:A22"/>
    <mergeCell ref="B19:B21"/>
    <mergeCell ref="C19:C21"/>
    <mergeCell ref="D19:E21"/>
    <mergeCell ref="B22:B24"/>
    <mergeCell ref="C22:C24"/>
    <mergeCell ref="D22:E24"/>
    <mergeCell ref="A23:A27"/>
    <mergeCell ref="B25:B27"/>
    <mergeCell ref="H5:I5"/>
    <mergeCell ref="A9:E10"/>
    <mergeCell ref="A12:C12"/>
    <mergeCell ref="D12:E12"/>
    <mergeCell ref="A13:A17"/>
    <mergeCell ref="B13:B15"/>
    <mergeCell ref="C13:C15"/>
    <mergeCell ref="D13:E15"/>
    <mergeCell ref="B16:B18"/>
    <mergeCell ref="C16:C18"/>
  </mergeCells>
  <phoneticPr fontId="1"/>
  <pageMargins left="0.90551181102362199" right="0.51181102362204722" top="0.15748031496062992" bottom="0.15748031496062992" header="0" footer="0"/>
  <pageSetup paperSize="9" fitToWidth="0" orientation="portrait" horizontalDpi="4294967293" r:id="rId1"/>
  <drawing r:id="rId2"/>
  <legacyDrawing r:id="rId3"/>
  <controls>
    <mc:AlternateContent xmlns:mc="http://schemas.openxmlformats.org/markup-compatibility/2006">
      <mc:Choice Requires="x14">
        <control shapeId="101378" r:id="rId4" name="botann">
          <controlPr defaultSize="0" autoLine="0" autoPict="0" r:id="rId5">
            <anchor moveWithCells="1">
              <from>
                <xdr:col>10</xdr:col>
                <xdr:colOff>180975</xdr:colOff>
                <xdr:row>12</xdr:row>
                <xdr:rowOff>57150</xdr:rowOff>
              </from>
              <to>
                <xdr:col>12</xdr:col>
                <xdr:colOff>0</xdr:colOff>
                <xdr:row>13</xdr:row>
                <xdr:rowOff>209550</xdr:rowOff>
              </to>
            </anchor>
          </controlPr>
        </control>
      </mc:Choice>
      <mc:Fallback>
        <control shapeId="101378" r:id="rId4" name="botann"/>
      </mc:Fallback>
    </mc:AlternateContent>
  </control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36335-DEE8-49A2-BE66-79384A8EB05F}">
  <dimension ref="A1"/>
  <sheetViews>
    <sheetView workbookViewId="0"/>
  </sheetViews>
  <sheetFormatPr defaultRowHeight="13.5"/>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pageSetUpPr fitToPage="1"/>
  </sheetPr>
  <dimension ref="A1:F17"/>
  <sheetViews>
    <sheetView workbookViewId="0">
      <pane xSplit="1" ySplit="2" topLeftCell="C12" activePane="bottomRight" state="frozen"/>
      <selection pane="topRight" activeCell="B1" sqref="B1"/>
      <selection pane="bottomLeft" activeCell="A2" sqref="A2"/>
      <selection pane="bottomRight" activeCell="B1" sqref="B1"/>
    </sheetView>
  </sheetViews>
  <sheetFormatPr defaultRowHeight="13.5"/>
  <cols>
    <col min="1" max="1" width="3.75" customWidth="1"/>
    <col min="2" max="4" width="66.25" style="17" customWidth="1"/>
    <col min="5" max="6" width="36.25" customWidth="1"/>
  </cols>
  <sheetData>
    <row r="1" spans="1:6" ht="27.75" customHeight="1">
      <c r="B1" s="37" t="s">
        <v>322</v>
      </c>
    </row>
    <row r="2" spans="1:6">
      <c r="B2" s="53" t="s">
        <v>4</v>
      </c>
      <c r="C2" s="53" t="s">
        <v>38</v>
      </c>
      <c r="D2" s="226" t="s">
        <v>6</v>
      </c>
      <c r="E2" s="226" t="s">
        <v>323</v>
      </c>
      <c r="F2" s="226" t="s">
        <v>324</v>
      </c>
    </row>
    <row r="3" spans="1:6" ht="75.75" customHeight="1">
      <c r="A3" s="225">
        <v>1</v>
      </c>
      <c r="B3" s="50" t="s">
        <v>325</v>
      </c>
      <c r="C3" s="50" t="s">
        <v>326</v>
      </c>
      <c r="D3" s="50" t="s">
        <v>327</v>
      </c>
      <c r="E3" s="48" t="s">
        <v>328</v>
      </c>
      <c r="F3" s="50" t="s">
        <v>329</v>
      </c>
    </row>
    <row r="4" spans="1:6" ht="75.75" customHeight="1">
      <c r="A4" s="225">
        <v>2</v>
      </c>
      <c r="B4" s="50" t="s">
        <v>330</v>
      </c>
      <c r="C4" s="50" t="s">
        <v>331</v>
      </c>
      <c r="D4" s="50" t="s">
        <v>332</v>
      </c>
      <c r="E4" s="52" t="s">
        <v>333</v>
      </c>
      <c r="F4" s="49" t="s">
        <v>334</v>
      </c>
    </row>
    <row r="5" spans="1:6" ht="75.75" customHeight="1">
      <c r="A5" s="225">
        <v>3</v>
      </c>
      <c r="B5" s="50" t="s">
        <v>335</v>
      </c>
      <c r="C5" s="50" t="s">
        <v>336</v>
      </c>
      <c r="D5" s="50" t="s">
        <v>337</v>
      </c>
      <c r="E5" s="48" t="s">
        <v>338</v>
      </c>
      <c r="F5" s="48" t="s">
        <v>339</v>
      </c>
    </row>
    <row r="6" spans="1:6" ht="75.75" customHeight="1">
      <c r="A6" s="225">
        <v>4</v>
      </c>
      <c r="B6" s="50" t="s">
        <v>340</v>
      </c>
      <c r="C6" s="50" t="s">
        <v>341</v>
      </c>
      <c r="D6" s="50" t="s">
        <v>342</v>
      </c>
      <c r="E6" s="50" t="s">
        <v>343</v>
      </c>
      <c r="F6" s="50" t="s">
        <v>344</v>
      </c>
    </row>
    <row r="7" spans="1:6" ht="75.75" customHeight="1">
      <c r="A7" s="225">
        <v>5</v>
      </c>
      <c r="B7" s="50" t="s">
        <v>345</v>
      </c>
      <c r="C7" s="50" t="s">
        <v>346</v>
      </c>
      <c r="D7" s="50" t="s">
        <v>347</v>
      </c>
      <c r="E7" s="50" t="s">
        <v>348</v>
      </c>
      <c r="F7" s="50" t="s">
        <v>349</v>
      </c>
    </row>
    <row r="8" spans="1:6" ht="75.75" customHeight="1">
      <c r="A8" s="225">
        <v>6</v>
      </c>
      <c r="B8" s="50" t="s">
        <v>350</v>
      </c>
      <c r="C8" s="50" t="s">
        <v>351</v>
      </c>
      <c r="D8" s="50" t="s">
        <v>352</v>
      </c>
      <c r="E8" s="50" t="s">
        <v>353</v>
      </c>
      <c r="F8" s="50" t="s">
        <v>354</v>
      </c>
    </row>
    <row r="9" spans="1:6" ht="75.75" customHeight="1">
      <c r="A9" s="225">
        <v>7</v>
      </c>
      <c r="B9" s="50" t="s">
        <v>355</v>
      </c>
      <c r="C9" s="50" t="s">
        <v>356</v>
      </c>
      <c r="D9" s="50" t="s">
        <v>357</v>
      </c>
      <c r="E9" s="50" t="s">
        <v>358</v>
      </c>
      <c r="F9" s="50" t="s">
        <v>359</v>
      </c>
    </row>
    <row r="10" spans="1:6" ht="75.75" customHeight="1">
      <c r="A10" s="225">
        <v>8</v>
      </c>
      <c r="B10" s="50" t="s">
        <v>360</v>
      </c>
      <c r="C10" s="50" t="s">
        <v>361</v>
      </c>
      <c r="D10" s="50" t="s">
        <v>362</v>
      </c>
      <c r="E10" s="50" t="s">
        <v>363</v>
      </c>
      <c r="F10" s="50" t="s">
        <v>364</v>
      </c>
    </row>
    <row r="11" spans="1:6" ht="75.75" customHeight="1">
      <c r="A11" s="225">
        <v>9</v>
      </c>
      <c r="B11" s="50" t="s">
        <v>365</v>
      </c>
      <c r="C11" s="50" t="s">
        <v>366</v>
      </c>
      <c r="D11" s="50" t="s">
        <v>367</v>
      </c>
      <c r="E11" s="50" t="s">
        <v>368</v>
      </c>
      <c r="F11" s="50" t="s">
        <v>369</v>
      </c>
    </row>
    <row r="12" spans="1:6" ht="75.75" customHeight="1">
      <c r="A12" s="225">
        <v>11</v>
      </c>
      <c r="B12" s="50" t="s">
        <v>370</v>
      </c>
      <c r="C12" s="50" t="s">
        <v>371</v>
      </c>
      <c r="D12" s="50" t="s">
        <v>372</v>
      </c>
      <c r="E12" s="50" t="s">
        <v>373</v>
      </c>
      <c r="F12" s="50" t="s">
        <v>374</v>
      </c>
    </row>
    <row r="13" spans="1:6" ht="75.75" customHeight="1">
      <c r="A13" s="225">
        <v>22</v>
      </c>
      <c r="B13" s="50" t="s">
        <v>375</v>
      </c>
      <c r="C13" s="50" t="s">
        <v>376</v>
      </c>
      <c r="D13" s="50" t="s">
        <v>377</v>
      </c>
      <c r="E13" s="50" t="s">
        <v>378</v>
      </c>
      <c r="F13" s="50" t="s">
        <v>379</v>
      </c>
    </row>
    <row r="14" spans="1:6" ht="75.75" customHeight="1">
      <c r="A14" s="225">
        <v>33</v>
      </c>
      <c r="B14" s="52" t="s">
        <v>380</v>
      </c>
      <c r="C14" s="52"/>
      <c r="D14" s="52" t="s">
        <v>381</v>
      </c>
      <c r="E14" s="51" t="s">
        <v>382</v>
      </c>
      <c r="F14" s="50" t="s">
        <v>383</v>
      </c>
    </row>
    <row r="17" spans="4:4">
      <c r="D17" s="20"/>
    </row>
  </sheetData>
  <phoneticPr fontId="1"/>
  <pageMargins left="0.7" right="0.7" top="0.75" bottom="0.75" header="0.3" footer="0.3"/>
  <pageSetup paperSize="9" scale="48" orientation="landscape"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3">
    <pageSetUpPr fitToPage="1"/>
  </sheetPr>
  <dimension ref="A1:G14"/>
  <sheetViews>
    <sheetView workbookViewId="0">
      <pane xSplit="1" ySplit="2" topLeftCell="C3" activePane="bottomRight" state="frozen"/>
      <selection pane="topRight" activeCell="B1" sqref="B1"/>
      <selection pane="bottomLeft" activeCell="A2" sqref="A2"/>
      <selection pane="bottomRight" activeCell="B1" sqref="B1"/>
    </sheetView>
  </sheetViews>
  <sheetFormatPr defaultRowHeight="13.5"/>
  <cols>
    <col min="1" max="1" width="4.375" customWidth="1"/>
    <col min="2" max="2" width="31.375" customWidth="1"/>
    <col min="3" max="3" width="22.25" customWidth="1"/>
    <col min="4" max="4" width="31.375" customWidth="1"/>
    <col min="5" max="5" width="22.25" customWidth="1"/>
    <col min="6" max="6" width="31.375" style="32" customWidth="1"/>
    <col min="7" max="7" width="22.25" style="32" customWidth="1"/>
  </cols>
  <sheetData>
    <row r="1" spans="1:7" ht="27" customHeight="1">
      <c r="B1" s="37" t="s">
        <v>322</v>
      </c>
    </row>
    <row r="2" spans="1:7">
      <c r="B2" s="587" t="s">
        <v>384</v>
      </c>
      <c r="C2" s="588"/>
      <c r="D2" s="589" t="s">
        <v>385</v>
      </c>
      <c r="E2" s="589"/>
      <c r="F2" s="590" t="s">
        <v>386</v>
      </c>
      <c r="G2" s="590"/>
    </row>
    <row r="3" spans="1:7" ht="45" customHeight="1">
      <c r="A3" s="225">
        <v>1</v>
      </c>
      <c r="B3" s="48" t="s">
        <v>387</v>
      </c>
      <c r="C3" s="50" t="s">
        <v>388</v>
      </c>
      <c r="D3" s="48" t="s">
        <v>389</v>
      </c>
      <c r="E3" s="50" t="s">
        <v>390</v>
      </c>
      <c r="F3" s="51" t="s">
        <v>391</v>
      </c>
      <c r="G3" s="51" t="s">
        <v>392</v>
      </c>
    </row>
    <row r="4" spans="1:7" ht="45" customHeight="1">
      <c r="A4" s="225">
        <v>2</v>
      </c>
      <c r="B4" s="48" t="s">
        <v>393</v>
      </c>
      <c r="C4" s="49" t="s">
        <v>394</v>
      </c>
      <c r="D4" s="52" t="s">
        <v>395</v>
      </c>
      <c r="E4" s="49" t="s">
        <v>396</v>
      </c>
      <c r="F4" s="51" t="s">
        <v>397</v>
      </c>
      <c r="G4" s="51" t="s">
        <v>398</v>
      </c>
    </row>
    <row r="5" spans="1:7" ht="45" customHeight="1">
      <c r="A5" s="225">
        <v>3</v>
      </c>
      <c r="B5" s="48" t="s">
        <v>399</v>
      </c>
      <c r="C5" s="48" t="s">
        <v>400</v>
      </c>
      <c r="D5" s="48" t="s">
        <v>401</v>
      </c>
      <c r="E5" s="48" t="s">
        <v>402</v>
      </c>
      <c r="F5" s="51" t="s">
        <v>403</v>
      </c>
      <c r="G5" s="51" t="s">
        <v>404</v>
      </c>
    </row>
    <row r="6" spans="1:7" ht="45" customHeight="1">
      <c r="A6" s="225">
        <v>4</v>
      </c>
      <c r="B6" s="50" t="s">
        <v>405</v>
      </c>
      <c r="C6" s="50" t="s">
        <v>406</v>
      </c>
      <c r="D6" s="50" t="s">
        <v>407</v>
      </c>
      <c r="E6" s="50" t="s">
        <v>408</v>
      </c>
      <c r="F6" s="51" t="s">
        <v>409</v>
      </c>
      <c r="G6" s="51" t="s">
        <v>410</v>
      </c>
    </row>
    <row r="7" spans="1:7" ht="45" customHeight="1">
      <c r="A7" s="225">
        <v>5</v>
      </c>
      <c r="B7" s="50" t="s">
        <v>411</v>
      </c>
      <c r="C7" s="50" t="s">
        <v>412</v>
      </c>
      <c r="D7" s="50" t="s">
        <v>413</v>
      </c>
      <c r="E7" s="50" t="s">
        <v>414</v>
      </c>
      <c r="F7" s="51" t="s">
        <v>415</v>
      </c>
      <c r="G7" s="51" t="s">
        <v>416</v>
      </c>
    </row>
    <row r="8" spans="1:7" ht="45" customHeight="1">
      <c r="A8" s="225">
        <v>6</v>
      </c>
      <c r="B8" s="50" t="s">
        <v>417</v>
      </c>
      <c r="C8" s="50" t="s">
        <v>418</v>
      </c>
      <c r="D8" s="50" t="s">
        <v>419</v>
      </c>
      <c r="E8" s="50" t="s">
        <v>420</v>
      </c>
      <c r="F8" s="51" t="s">
        <v>421</v>
      </c>
      <c r="G8" s="51" t="s">
        <v>422</v>
      </c>
    </row>
    <row r="9" spans="1:7" ht="45" customHeight="1">
      <c r="A9" s="225">
        <v>7</v>
      </c>
      <c r="B9" s="50" t="s">
        <v>423</v>
      </c>
      <c r="C9" s="50" t="s">
        <v>424</v>
      </c>
      <c r="D9" s="50" t="s">
        <v>425</v>
      </c>
      <c r="E9" s="50" t="s">
        <v>426</v>
      </c>
      <c r="F9" s="51" t="s">
        <v>427</v>
      </c>
      <c r="G9" s="51" t="s">
        <v>428</v>
      </c>
    </row>
    <row r="10" spans="1:7" ht="45" customHeight="1">
      <c r="A10" s="225">
        <v>8</v>
      </c>
      <c r="B10" s="50" t="s">
        <v>429</v>
      </c>
      <c r="C10" s="50" t="s">
        <v>430</v>
      </c>
      <c r="D10" s="50" t="s">
        <v>431</v>
      </c>
      <c r="E10" s="50" t="s">
        <v>432</v>
      </c>
      <c r="F10" s="51" t="s">
        <v>433</v>
      </c>
      <c r="G10" s="51" t="s">
        <v>434</v>
      </c>
    </row>
    <row r="11" spans="1:7" ht="45" customHeight="1">
      <c r="A11" s="225">
        <v>9</v>
      </c>
      <c r="B11" s="50" t="s">
        <v>435</v>
      </c>
      <c r="C11" s="50" t="s">
        <v>436</v>
      </c>
      <c r="D11" s="50" t="s">
        <v>437</v>
      </c>
      <c r="E11" s="50" t="s">
        <v>438</v>
      </c>
      <c r="F11" s="51" t="s">
        <v>439</v>
      </c>
      <c r="G11" s="51" t="s">
        <v>440</v>
      </c>
    </row>
    <row r="12" spans="1:7" ht="45" customHeight="1">
      <c r="A12" s="225">
        <v>11</v>
      </c>
      <c r="B12" s="50" t="s">
        <v>441</v>
      </c>
      <c r="C12" s="50" t="s">
        <v>442</v>
      </c>
      <c r="D12" s="50" t="s">
        <v>443</v>
      </c>
      <c r="E12" s="50" t="s">
        <v>444</v>
      </c>
      <c r="F12" s="51" t="s">
        <v>445</v>
      </c>
      <c r="G12" s="51" t="s">
        <v>446</v>
      </c>
    </row>
    <row r="13" spans="1:7" ht="45" customHeight="1">
      <c r="A13" s="225">
        <v>22</v>
      </c>
      <c r="B13" s="50" t="s">
        <v>447</v>
      </c>
      <c r="C13" s="50" t="s">
        <v>448</v>
      </c>
      <c r="D13" s="50" t="s">
        <v>449</v>
      </c>
      <c r="E13" s="50" t="s">
        <v>448</v>
      </c>
      <c r="F13" s="50" t="s">
        <v>450</v>
      </c>
      <c r="G13" s="50" t="s">
        <v>448</v>
      </c>
    </row>
    <row r="14" spans="1:7" ht="45" customHeight="1">
      <c r="A14" s="225">
        <v>33</v>
      </c>
      <c r="B14" s="85"/>
      <c r="C14" s="85"/>
      <c r="D14" s="85"/>
      <c r="E14" s="85"/>
      <c r="F14" s="51" t="s">
        <v>451</v>
      </c>
      <c r="G14" s="51" t="s">
        <v>452</v>
      </c>
    </row>
  </sheetData>
  <mergeCells count="3">
    <mergeCell ref="B2:C2"/>
    <mergeCell ref="D2:E2"/>
    <mergeCell ref="F2:G2"/>
  </mergeCells>
  <phoneticPr fontId="1"/>
  <pageMargins left="0.7" right="0.7" top="0.75" bottom="0.75" header="0.3" footer="0.3"/>
  <pageSetup paperSize="9" scale="79" orientation="landscape" horizontalDpi="4294967293"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pageSetUpPr fitToPage="1"/>
  </sheetPr>
  <dimension ref="A1:D12"/>
  <sheetViews>
    <sheetView workbookViewId="0">
      <pane xSplit="1" ySplit="2" topLeftCell="B3" activePane="bottomRight" state="frozen"/>
      <selection pane="topRight" activeCell="B1" sqref="B1"/>
      <selection pane="bottomLeft" activeCell="A2" sqref="A2"/>
      <selection pane="bottomRight" activeCell="B1" sqref="B1"/>
    </sheetView>
  </sheetViews>
  <sheetFormatPr defaultRowHeight="13.5"/>
  <cols>
    <col min="1" max="1" width="4.875" customWidth="1"/>
    <col min="2" max="3" width="46" style="56" customWidth="1"/>
    <col min="4" max="4" width="38.25" style="32" customWidth="1"/>
  </cols>
  <sheetData>
    <row r="1" spans="1:4" ht="27.75" customHeight="1">
      <c r="B1" s="79" t="s">
        <v>453</v>
      </c>
    </row>
    <row r="2" spans="1:4">
      <c r="B2" s="591" t="s">
        <v>454</v>
      </c>
      <c r="C2" s="592"/>
      <c r="D2" s="54" t="s">
        <v>455</v>
      </c>
    </row>
    <row r="3" spans="1:4" ht="70.150000000000006" customHeight="1">
      <c r="A3" s="225">
        <v>1</v>
      </c>
      <c r="B3" s="51" t="s">
        <v>456</v>
      </c>
      <c r="C3" s="51" t="s">
        <v>457</v>
      </c>
      <c r="D3" s="51" t="s">
        <v>458</v>
      </c>
    </row>
    <row r="4" spans="1:4" ht="82.5" customHeight="1">
      <c r="A4" s="225">
        <v>2</v>
      </c>
      <c r="B4" s="51" t="s">
        <v>459</v>
      </c>
      <c r="C4" s="51" t="s">
        <v>460</v>
      </c>
      <c r="D4" s="55" t="s">
        <v>461</v>
      </c>
    </row>
    <row r="5" spans="1:4" ht="86.25" customHeight="1">
      <c r="A5" s="225">
        <v>3</v>
      </c>
      <c r="B5" s="51" t="s">
        <v>462</v>
      </c>
      <c r="C5" s="51" t="s">
        <v>463</v>
      </c>
      <c r="D5" s="55" t="s">
        <v>464</v>
      </c>
    </row>
    <row r="6" spans="1:4" ht="70.150000000000006" customHeight="1">
      <c r="A6" s="225">
        <v>4</v>
      </c>
      <c r="B6" s="51" t="s">
        <v>465</v>
      </c>
      <c r="C6" s="51" t="s">
        <v>466</v>
      </c>
      <c r="D6" s="55" t="s">
        <v>467</v>
      </c>
    </row>
    <row r="7" spans="1:4" ht="70.150000000000006" customHeight="1">
      <c r="A7" s="225">
        <v>5</v>
      </c>
      <c r="B7" s="51" t="s">
        <v>468</v>
      </c>
      <c r="C7" s="51" t="s">
        <v>469</v>
      </c>
      <c r="D7" s="55" t="s">
        <v>470</v>
      </c>
    </row>
    <row r="8" spans="1:4" ht="70.150000000000006" customHeight="1">
      <c r="A8" s="225">
        <v>6</v>
      </c>
      <c r="B8" s="51" t="s">
        <v>471</v>
      </c>
      <c r="C8" s="51" t="s">
        <v>472</v>
      </c>
      <c r="D8" s="55" t="s">
        <v>473</v>
      </c>
    </row>
    <row r="9" spans="1:4" ht="70.150000000000006" customHeight="1">
      <c r="A9" s="225">
        <v>7</v>
      </c>
      <c r="B9" s="51" t="s">
        <v>474</v>
      </c>
      <c r="C9" s="51" t="s">
        <v>475</v>
      </c>
      <c r="D9" s="55" t="s">
        <v>476</v>
      </c>
    </row>
    <row r="10" spans="1:4" ht="70.150000000000006" customHeight="1">
      <c r="A10" s="225">
        <v>8</v>
      </c>
      <c r="B10" s="51" t="s">
        <v>477</v>
      </c>
      <c r="C10" s="51" t="s">
        <v>478</v>
      </c>
      <c r="D10" s="55" t="s">
        <v>479</v>
      </c>
    </row>
    <row r="11" spans="1:4" ht="70.150000000000006" customHeight="1">
      <c r="A11" s="225">
        <v>9</v>
      </c>
      <c r="B11" s="51" t="s">
        <v>480</v>
      </c>
      <c r="C11" s="51" t="s">
        <v>481</v>
      </c>
      <c r="D11" s="55" t="s">
        <v>482</v>
      </c>
    </row>
    <row r="12" spans="1:4" ht="70.150000000000006" customHeight="1">
      <c r="A12" s="225">
        <v>11</v>
      </c>
      <c r="B12" s="51" t="s">
        <v>483</v>
      </c>
      <c r="C12" s="51" t="s">
        <v>484</v>
      </c>
      <c r="D12" s="67"/>
    </row>
  </sheetData>
  <mergeCells count="1">
    <mergeCell ref="B2:C2"/>
  </mergeCells>
  <phoneticPr fontId="1"/>
  <pageMargins left="0.7" right="0.7" top="0.75" bottom="0.75" header="0.3" footer="0.3"/>
  <pageSetup paperSize="9" scale="68" orientation="landscape" horizontalDpi="4294967293"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5"/>
  <dimension ref="A1:E13"/>
  <sheetViews>
    <sheetView workbookViewId="0">
      <pane xSplit="1" ySplit="2" topLeftCell="B12" activePane="bottomRight" state="frozen"/>
      <selection pane="topRight" activeCell="B1" sqref="B1"/>
      <selection pane="bottomLeft" activeCell="A2" sqref="A2"/>
      <selection pane="bottomRight" activeCell="B1" sqref="B1"/>
    </sheetView>
  </sheetViews>
  <sheetFormatPr defaultRowHeight="13.5"/>
  <cols>
    <col min="1" max="1" width="4.875" customWidth="1"/>
    <col min="2" max="2" width="29.75" customWidth="1"/>
    <col min="3" max="3" width="39.25" customWidth="1"/>
    <col min="4" max="4" width="28.75" style="32" customWidth="1"/>
    <col min="5" max="5" width="33" style="32" customWidth="1"/>
  </cols>
  <sheetData>
    <row r="1" spans="1:5" ht="26.25" customHeight="1">
      <c r="B1" s="37" t="s">
        <v>485</v>
      </c>
    </row>
    <row r="2" spans="1:5">
      <c r="B2" s="593" t="s">
        <v>486</v>
      </c>
      <c r="C2" s="593"/>
      <c r="D2" s="54" t="s">
        <v>487</v>
      </c>
      <c r="E2" s="54" t="s">
        <v>488</v>
      </c>
    </row>
    <row r="3" spans="1:5" ht="92.1" customHeight="1">
      <c r="A3" s="225">
        <v>1</v>
      </c>
      <c r="B3" s="48" t="s">
        <v>489</v>
      </c>
      <c r="C3" s="50" t="s">
        <v>490</v>
      </c>
      <c r="D3" s="51" t="s">
        <v>491</v>
      </c>
      <c r="E3" s="51" t="s">
        <v>492</v>
      </c>
    </row>
    <row r="4" spans="1:5" ht="108.75" customHeight="1">
      <c r="A4" s="225">
        <v>2</v>
      </c>
      <c r="B4" s="136" t="s">
        <v>493</v>
      </c>
      <c r="C4" s="52" t="s">
        <v>494</v>
      </c>
      <c r="D4" s="51" t="s">
        <v>495</v>
      </c>
      <c r="E4" s="51" t="s">
        <v>496</v>
      </c>
    </row>
    <row r="5" spans="1:5" ht="92.1" customHeight="1">
      <c r="A5" s="225">
        <v>3</v>
      </c>
      <c r="B5" s="48" t="s">
        <v>497</v>
      </c>
      <c r="C5" s="48" t="s">
        <v>498</v>
      </c>
      <c r="D5" s="51" t="s">
        <v>499</v>
      </c>
      <c r="E5" s="51" t="s">
        <v>500</v>
      </c>
    </row>
    <row r="6" spans="1:5" ht="92.1" customHeight="1">
      <c r="A6" s="225">
        <v>4</v>
      </c>
      <c r="B6" s="50" t="s">
        <v>501</v>
      </c>
      <c r="C6" s="50" t="s">
        <v>502</v>
      </c>
      <c r="D6" s="51" t="s">
        <v>503</v>
      </c>
      <c r="E6" s="51" t="s">
        <v>504</v>
      </c>
    </row>
    <row r="7" spans="1:5" ht="92.1" customHeight="1">
      <c r="A7" s="225">
        <v>5</v>
      </c>
      <c r="B7" s="50" t="s">
        <v>505</v>
      </c>
      <c r="C7" s="50" t="s">
        <v>506</v>
      </c>
      <c r="D7" s="51" t="s">
        <v>507</v>
      </c>
      <c r="E7" s="51" t="s">
        <v>508</v>
      </c>
    </row>
    <row r="8" spans="1:5" ht="92.1" customHeight="1">
      <c r="A8" s="225">
        <v>6</v>
      </c>
      <c r="B8" s="50" t="s">
        <v>509</v>
      </c>
      <c r="C8" s="50" t="s">
        <v>510</v>
      </c>
      <c r="D8" s="51" t="s">
        <v>511</v>
      </c>
      <c r="E8" s="51" t="s">
        <v>512</v>
      </c>
    </row>
    <row r="9" spans="1:5" ht="92.1" customHeight="1">
      <c r="A9" s="225">
        <v>7</v>
      </c>
      <c r="B9" s="50" t="s">
        <v>513</v>
      </c>
      <c r="C9" s="50" t="s">
        <v>514</v>
      </c>
      <c r="D9" s="51" t="s">
        <v>515</v>
      </c>
      <c r="E9" s="51" t="s">
        <v>516</v>
      </c>
    </row>
    <row r="10" spans="1:5" ht="108.75" customHeight="1">
      <c r="A10" s="225">
        <v>8</v>
      </c>
      <c r="B10" s="50" t="s">
        <v>517</v>
      </c>
      <c r="C10" s="50" t="s">
        <v>518</v>
      </c>
      <c r="D10" s="51" t="s">
        <v>519</v>
      </c>
      <c r="E10" s="51" t="s">
        <v>520</v>
      </c>
    </row>
    <row r="11" spans="1:5" ht="92.1" customHeight="1">
      <c r="A11" s="225">
        <v>9</v>
      </c>
      <c r="B11" s="50" t="s">
        <v>521</v>
      </c>
      <c r="C11" s="50" t="s">
        <v>522</v>
      </c>
      <c r="D11" s="51" t="s">
        <v>523</v>
      </c>
      <c r="E11" s="51" t="s">
        <v>524</v>
      </c>
    </row>
    <row r="12" spans="1:5" ht="92.1" customHeight="1">
      <c r="A12" s="225">
        <v>11</v>
      </c>
      <c r="B12" s="50" t="s">
        <v>525</v>
      </c>
      <c r="C12" s="50" t="s">
        <v>526</v>
      </c>
      <c r="D12" s="51" t="s">
        <v>527</v>
      </c>
      <c r="E12" s="51" t="s">
        <v>528</v>
      </c>
    </row>
    <row r="13" spans="1:5" ht="92.1" customHeight="1">
      <c r="A13" s="225">
        <v>22</v>
      </c>
      <c r="B13" s="50" t="s">
        <v>529</v>
      </c>
      <c r="C13" s="50" t="s">
        <v>530</v>
      </c>
      <c r="D13" s="51" t="s">
        <v>531</v>
      </c>
      <c r="E13" s="51" t="s">
        <v>532</v>
      </c>
    </row>
  </sheetData>
  <mergeCells count="1">
    <mergeCell ref="B2:C2"/>
  </mergeCells>
  <phoneticPr fontId="1"/>
  <pageMargins left="0.7" right="0.7" top="0.75" bottom="0.75" header="0.3" footer="0.3"/>
  <pageSetup paperSize="9" orientation="landscape" horizontalDpi="4294967293"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6"/>
  <dimension ref="A1:G40"/>
  <sheetViews>
    <sheetView workbookViewId="0">
      <pane xSplit="1" ySplit="2" topLeftCell="B26" activePane="bottomRight" state="frozen"/>
      <selection pane="topRight" activeCell="B1" sqref="B1"/>
      <selection pane="bottomLeft" activeCell="A3" sqref="A3"/>
      <selection pane="bottomRight" activeCell="B1" sqref="B1"/>
    </sheetView>
  </sheetViews>
  <sheetFormatPr defaultRowHeight="13.5"/>
  <cols>
    <col min="1" max="1" width="6.75" style="58" customWidth="1"/>
    <col min="3" max="3" width="54" customWidth="1"/>
  </cols>
  <sheetData>
    <row r="1" spans="1:7" ht="27" customHeight="1">
      <c r="B1" s="37" t="s">
        <v>533</v>
      </c>
    </row>
    <row r="2" spans="1:7">
      <c r="A2" s="594" t="s">
        <v>534</v>
      </c>
      <c r="B2" s="594"/>
      <c r="C2" s="594"/>
      <c r="D2" s="58"/>
      <c r="E2" s="58"/>
      <c r="F2" s="58"/>
      <c r="G2" s="58"/>
    </row>
    <row r="3" spans="1:7">
      <c r="A3" s="57">
        <v>1</v>
      </c>
      <c r="B3" s="59" t="s">
        <v>535</v>
      </c>
      <c r="C3" s="59" t="s">
        <v>536</v>
      </c>
    </row>
    <row r="4" spans="1:7">
      <c r="A4" s="57">
        <v>2</v>
      </c>
      <c r="B4" s="59" t="s">
        <v>537</v>
      </c>
      <c r="C4" s="59" t="s">
        <v>538</v>
      </c>
    </row>
    <row r="5" spans="1:7">
      <c r="A5" s="57">
        <v>3</v>
      </c>
      <c r="B5" s="59" t="s">
        <v>181</v>
      </c>
      <c r="C5" s="59" t="s">
        <v>539</v>
      </c>
    </row>
    <row r="6" spans="1:7">
      <c r="A6" s="57">
        <v>4</v>
      </c>
      <c r="B6" s="59" t="s">
        <v>540</v>
      </c>
      <c r="C6" s="59" t="s">
        <v>541</v>
      </c>
    </row>
    <row r="7" spans="1:7">
      <c r="A7" s="57">
        <v>5</v>
      </c>
      <c r="B7" s="59" t="s">
        <v>542</v>
      </c>
      <c r="C7" s="59" t="s">
        <v>543</v>
      </c>
    </row>
    <row r="8" spans="1:7">
      <c r="A8" s="57">
        <v>6</v>
      </c>
      <c r="B8" s="59" t="s">
        <v>544</v>
      </c>
      <c r="C8" s="59" t="s">
        <v>545</v>
      </c>
    </row>
    <row r="9" spans="1:7">
      <c r="A9" s="57">
        <v>7</v>
      </c>
      <c r="B9" s="59" t="s">
        <v>546</v>
      </c>
      <c r="C9" s="59" t="s">
        <v>547</v>
      </c>
    </row>
    <row r="10" spans="1:7">
      <c r="A10" s="57">
        <v>8</v>
      </c>
      <c r="B10" s="59" t="s">
        <v>548</v>
      </c>
      <c r="C10" s="59" t="s">
        <v>549</v>
      </c>
    </row>
    <row r="11" spans="1:7">
      <c r="A11" s="57">
        <v>9</v>
      </c>
      <c r="B11" s="59" t="s">
        <v>550</v>
      </c>
      <c r="C11" s="59" t="s">
        <v>551</v>
      </c>
    </row>
    <row r="12" spans="1:7">
      <c r="A12" s="57">
        <v>11</v>
      </c>
      <c r="B12" s="59" t="s">
        <v>552</v>
      </c>
      <c r="C12" s="59" t="s">
        <v>553</v>
      </c>
    </row>
    <row r="13" spans="1:7">
      <c r="A13" s="57">
        <v>22</v>
      </c>
      <c r="B13" s="59" t="s">
        <v>554</v>
      </c>
      <c r="C13" s="59" t="s">
        <v>555</v>
      </c>
    </row>
    <row r="14" spans="1:7">
      <c r="A14" s="57">
        <v>33</v>
      </c>
      <c r="B14" s="59" t="s">
        <v>556</v>
      </c>
      <c r="C14" s="59" t="s">
        <v>557</v>
      </c>
    </row>
    <row r="17" spans="1:3">
      <c r="A17" s="594" t="s">
        <v>558</v>
      </c>
      <c r="B17" s="594"/>
      <c r="C17" s="594"/>
    </row>
    <row r="18" spans="1:3">
      <c r="A18" s="57">
        <v>1</v>
      </c>
      <c r="B18" s="218" t="s">
        <v>559</v>
      </c>
      <c r="C18" s="38"/>
    </row>
    <row r="19" spans="1:3">
      <c r="A19" s="57">
        <v>2</v>
      </c>
      <c r="B19" s="218" t="s">
        <v>560</v>
      </c>
      <c r="C19" s="38"/>
    </row>
    <row r="20" spans="1:3">
      <c r="A20" s="57">
        <v>3</v>
      </c>
      <c r="B20" s="218" t="s">
        <v>561</v>
      </c>
      <c r="C20" s="38"/>
    </row>
    <row r="21" spans="1:3">
      <c r="A21" s="57">
        <v>4</v>
      </c>
      <c r="B21" s="218" t="s">
        <v>562</v>
      </c>
      <c r="C21" s="38"/>
    </row>
    <row r="22" spans="1:3">
      <c r="A22" s="57">
        <v>5</v>
      </c>
      <c r="B22" s="218" t="s">
        <v>563</v>
      </c>
      <c r="C22" s="38"/>
    </row>
    <row r="23" spans="1:3">
      <c r="A23" s="57">
        <v>6</v>
      </c>
      <c r="B23" s="218" t="s">
        <v>564</v>
      </c>
      <c r="C23" s="38"/>
    </row>
    <row r="24" spans="1:3">
      <c r="A24" s="57">
        <v>7</v>
      </c>
      <c r="B24" s="218" t="s">
        <v>565</v>
      </c>
      <c r="C24" s="38"/>
    </row>
    <row r="25" spans="1:3">
      <c r="A25" s="57">
        <v>8</v>
      </c>
      <c r="B25" s="218" t="s">
        <v>566</v>
      </c>
      <c r="C25" s="38"/>
    </row>
    <row r="26" spans="1:3">
      <c r="A26" s="57">
        <v>9</v>
      </c>
      <c r="B26" s="218" t="s">
        <v>567</v>
      </c>
      <c r="C26" s="38"/>
    </row>
    <row r="27" spans="1:3">
      <c r="A27" s="57">
        <v>11</v>
      </c>
      <c r="B27" s="218" t="s">
        <v>568</v>
      </c>
      <c r="C27" s="38"/>
    </row>
    <row r="28" spans="1:3">
      <c r="A28" s="57">
        <v>22</v>
      </c>
      <c r="B28" s="218" t="s">
        <v>569</v>
      </c>
      <c r="C28" s="38"/>
    </row>
    <row r="30" spans="1:3">
      <c r="A30" s="57">
        <v>1</v>
      </c>
      <c r="B30" s="87" t="s">
        <v>570</v>
      </c>
      <c r="C30" s="9"/>
    </row>
    <row r="31" spans="1:3">
      <c r="A31" s="57">
        <v>2</v>
      </c>
      <c r="B31" s="34" t="s">
        <v>571</v>
      </c>
      <c r="C31" s="3"/>
    </row>
    <row r="32" spans="1:3">
      <c r="A32" s="57">
        <v>3</v>
      </c>
      <c r="B32" s="34" t="s">
        <v>572</v>
      </c>
      <c r="C32" s="3"/>
    </row>
    <row r="33" spans="1:3">
      <c r="A33" s="57">
        <v>4</v>
      </c>
      <c r="B33" s="87" t="s">
        <v>573</v>
      </c>
      <c r="C33" s="9"/>
    </row>
    <row r="34" spans="1:3">
      <c r="A34" s="57">
        <v>5</v>
      </c>
      <c r="B34" s="7" t="s">
        <v>574</v>
      </c>
      <c r="C34" s="9"/>
    </row>
    <row r="35" spans="1:3">
      <c r="A35" s="57">
        <v>6</v>
      </c>
      <c r="B35" s="87" t="s">
        <v>575</v>
      </c>
      <c r="C35" s="9"/>
    </row>
    <row r="36" spans="1:3">
      <c r="A36" s="57">
        <v>7</v>
      </c>
      <c r="B36" s="87" t="s">
        <v>576</v>
      </c>
      <c r="C36" s="9"/>
    </row>
    <row r="37" spans="1:3">
      <c r="A37" s="60">
        <v>8</v>
      </c>
      <c r="B37" s="218" t="s">
        <v>577</v>
      </c>
      <c r="C37" s="38"/>
    </row>
    <row r="38" spans="1:3">
      <c r="A38" s="60">
        <v>9</v>
      </c>
      <c r="B38" s="218" t="s">
        <v>578</v>
      </c>
      <c r="C38" s="38"/>
    </row>
    <row r="39" spans="1:3">
      <c r="A39" s="60">
        <v>11</v>
      </c>
      <c r="B39" s="218" t="s">
        <v>568</v>
      </c>
      <c r="C39" s="38"/>
    </row>
    <row r="40" spans="1:3">
      <c r="A40" s="60">
        <v>22</v>
      </c>
      <c r="B40" s="38" t="s">
        <v>569</v>
      </c>
      <c r="C40" s="38"/>
    </row>
  </sheetData>
  <mergeCells count="2">
    <mergeCell ref="A2:C2"/>
    <mergeCell ref="A17:C17"/>
  </mergeCells>
  <phoneticPr fontId="1"/>
  <pageMargins left="0.7" right="0.7" top="0.75" bottom="0.75" header="0.3" footer="0.3"/>
  <pageSetup paperSize="9" orientation="portrait" horizontalDpi="4294967293"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7">
    <pageSetUpPr fitToPage="1"/>
  </sheetPr>
  <dimension ref="A1:I28"/>
  <sheetViews>
    <sheetView workbookViewId="0">
      <pane xSplit="1" ySplit="2" topLeftCell="B18" activePane="bottomRight" state="frozen"/>
      <selection pane="topRight" activeCell="B1" sqref="B1"/>
      <selection pane="bottomLeft" activeCell="A3" sqref="A3"/>
      <selection pane="bottomRight" activeCell="B1" sqref="B1"/>
    </sheetView>
  </sheetViews>
  <sheetFormatPr defaultRowHeight="13.5"/>
  <cols>
    <col min="2" max="2" width="15.75" customWidth="1"/>
    <col min="3" max="3" width="27.125" customWidth="1"/>
    <col min="4" max="4" width="15.75" customWidth="1"/>
    <col min="5" max="5" width="27.125" customWidth="1"/>
    <col min="6" max="6" width="29.75" customWidth="1"/>
    <col min="9" max="9" width="45.375" customWidth="1"/>
  </cols>
  <sheetData>
    <row r="1" spans="1:9" ht="26.25" customHeight="1">
      <c r="B1" s="37" t="s">
        <v>579</v>
      </c>
    </row>
    <row r="2" spans="1:9" ht="22.5" customHeight="1">
      <c r="B2" s="80" t="s">
        <v>201</v>
      </c>
      <c r="C2" s="80" t="s">
        <v>580</v>
      </c>
      <c r="D2" s="80" t="s">
        <v>202</v>
      </c>
      <c r="E2" s="80" t="s">
        <v>580</v>
      </c>
      <c r="F2" s="80" t="s">
        <v>581</v>
      </c>
    </row>
    <row r="3" spans="1:9" ht="25.15" customHeight="1">
      <c r="A3" s="61">
        <v>1</v>
      </c>
      <c r="B3" s="225" t="s">
        <v>582</v>
      </c>
      <c r="C3" s="64" t="s">
        <v>583</v>
      </c>
      <c r="D3" s="225" t="s">
        <v>584</v>
      </c>
      <c r="E3" s="64" t="s">
        <v>585</v>
      </c>
      <c r="F3" s="68" t="s">
        <v>586</v>
      </c>
    </row>
    <row r="4" spans="1:9" ht="37.5" customHeight="1">
      <c r="A4" s="61">
        <v>2</v>
      </c>
      <c r="B4" s="57" t="s">
        <v>195</v>
      </c>
      <c r="C4" s="65" t="s">
        <v>587</v>
      </c>
      <c r="D4" s="225" t="s">
        <v>584</v>
      </c>
      <c r="E4" s="64" t="s">
        <v>585</v>
      </c>
      <c r="F4" s="69" t="s">
        <v>588</v>
      </c>
    </row>
    <row r="5" spans="1:9" ht="37.5" customHeight="1">
      <c r="A5" s="61">
        <v>3</v>
      </c>
      <c r="B5" s="57" t="s">
        <v>193</v>
      </c>
      <c r="C5" s="65" t="s">
        <v>589</v>
      </c>
      <c r="D5" s="225" t="s">
        <v>584</v>
      </c>
      <c r="E5" s="64" t="s">
        <v>585</v>
      </c>
      <c r="F5" s="69" t="s">
        <v>590</v>
      </c>
      <c r="I5" s="63"/>
    </row>
    <row r="6" spans="1:9" ht="37.5" customHeight="1">
      <c r="A6" s="61">
        <v>4</v>
      </c>
      <c r="B6" s="57" t="s">
        <v>195</v>
      </c>
      <c r="C6" s="65" t="s">
        <v>587</v>
      </c>
      <c r="D6" s="225" t="s">
        <v>185</v>
      </c>
      <c r="E6" s="65" t="s">
        <v>591</v>
      </c>
      <c r="F6" s="69" t="s">
        <v>592</v>
      </c>
      <c r="I6" s="63"/>
    </row>
    <row r="7" spans="1:9" ht="37.5" customHeight="1">
      <c r="A7" s="61">
        <v>5</v>
      </c>
      <c r="B7" s="57" t="s">
        <v>193</v>
      </c>
      <c r="C7" s="65" t="s">
        <v>589</v>
      </c>
      <c r="D7" s="225" t="s">
        <v>185</v>
      </c>
      <c r="E7" s="65" t="s">
        <v>591</v>
      </c>
      <c r="F7" s="69" t="s">
        <v>593</v>
      </c>
      <c r="I7" s="63"/>
    </row>
    <row r="8" spans="1:9" ht="37.5" customHeight="1">
      <c r="A8" s="61">
        <v>6</v>
      </c>
      <c r="B8" s="225" t="s">
        <v>582</v>
      </c>
      <c r="C8" s="65" t="s">
        <v>583</v>
      </c>
      <c r="D8" s="225" t="s">
        <v>185</v>
      </c>
      <c r="E8" s="65" t="s">
        <v>591</v>
      </c>
      <c r="F8" s="69" t="s">
        <v>594</v>
      </c>
    </row>
    <row r="9" spans="1:9" ht="25.15" customHeight="1">
      <c r="A9" s="61">
        <v>7</v>
      </c>
      <c r="B9" s="57" t="s">
        <v>195</v>
      </c>
      <c r="C9" s="65" t="s">
        <v>587</v>
      </c>
      <c r="D9" s="225" t="s">
        <v>189</v>
      </c>
      <c r="E9" s="65" t="s">
        <v>595</v>
      </c>
      <c r="F9" s="69" t="s">
        <v>596</v>
      </c>
    </row>
    <row r="10" spans="1:9" ht="37.5" customHeight="1">
      <c r="A10" s="61">
        <v>8</v>
      </c>
      <c r="B10" s="57" t="s">
        <v>193</v>
      </c>
      <c r="C10" s="65" t="s">
        <v>589</v>
      </c>
      <c r="D10" s="225" t="s">
        <v>189</v>
      </c>
      <c r="E10" s="65" t="s">
        <v>595</v>
      </c>
      <c r="F10" s="69" t="s">
        <v>597</v>
      </c>
    </row>
    <row r="11" spans="1:9" ht="37.5" customHeight="1">
      <c r="A11" s="61">
        <v>9</v>
      </c>
      <c r="B11" s="225" t="s">
        <v>582</v>
      </c>
      <c r="C11" s="65" t="s">
        <v>583</v>
      </c>
      <c r="D11" s="225" t="s">
        <v>189</v>
      </c>
      <c r="E11" s="65" t="s">
        <v>595</v>
      </c>
      <c r="F11" s="69" t="s">
        <v>598</v>
      </c>
    </row>
    <row r="12" spans="1:9" ht="45" customHeight="1">
      <c r="A12" s="61">
        <v>11</v>
      </c>
      <c r="B12" s="57" t="s">
        <v>195</v>
      </c>
      <c r="C12" s="65" t="s">
        <v>587</v>
      </c>
      <c r="D12" s="225" t="s">
        <v>584</v>
      </c>
      <c r="E12" s="64" t="s">
        <v>585</v>
      </c>
      <c r="F12" s="69" t="s">
        <v>599</v>
      </c>
    </row>
    <row r="13" spans="1:9" ht="37.5" customHeight="1">
      <c r="A13" s="61">
        <v>22</v>
      </c>
      <c r="B13" s="57" t="s">
        <v>195</v>
      </c>
      <c r="C13" s="65" t="s">
        <v>587</v>
      </c>
      <c r="D13" s="225" t="s">
        <v>185</v>
      </c>
      <c r="E13" s="65" t="s">
        <v>591</v>
      </c>
      <c r="F13" s="69" t="s">
        <v>600</v>
      </c>
    </row>
    <row r="14" spans="1:9" ht="37.5" customHeight="1">
      <c r="A14" s="61">
        <v>33</v>
      </c>
      <c r="B14" s="225" t="s">
        <v>582</v>
      </c>
      <c r="C14" s="65" t="s">
        <v>583</v>
      </c>
      <c r="D14" s="225" t="s">
        <v>185</v>
      </c>
      <c r="E14" s="65" t="s">
        <v>591</v>
      </c>
      <c r="F14" s="69" t="s">
        <v>600</v>
      </c>
    </row>
    <row r="16" spans="1:9" ht="22.5" customHeight="1">
      <c r="B16" s="80" t="s">
        <v>601</v>
      </c>
      <c r="C16" s="80" t="s">
        <v>580</v>
      </c>
      <c r="D16" s="80" t="s">
        <v>204</v>
      </c>
      <c r="E16" s="80" t="s">
        <v>580</v>
      </c>
      <c r="F16" s="80" t="s">
        <v>209</v>
      </c>
    </row>
    <row r="17" spans="1:6" ht="37.5" customHeight="1">
      <c r="A17" s="61">
        <v>1</v>
      </c>
      <c r="B17" s="225" t="s">
        <v>602</v>
      </c>
      <c r="C17" s="38" t="s">
        <v>603</v>
      </c>
      <c r="D17" s="225" t="s">
        <v>604</v>
      </c>
      <c r="E17" s="38" t="s">
        <v>605</v>
      </c>
      <c r="F17" s="70" t="s">
        <v>606</v>
      </c>
    </row>
    <row r="18" spans="1:6" ht="37.5" customHeight="1">
      <c r="A18" s="61">
        <v>2</v>
      </c>
      <c r="B18" s="225" t="s">
        <v>607</v>
      </c>
      <c r="C18" s="225" t="s">
        <v>608</v>
      </c>
      <c r="D18" s="225" t="s">
        <v>609</v>
      </c>
      <c r="E18" s="38" t="s">
        <v>610</v>
      </c>
      <c r="F18" s="70" t="s">
        <v>611</v>
      </c>
    </row>
    <row r="19" spans="1:6" ht="37.5" customHeight="1">
      <c r="A19" s="61">
        <v>3</v>
      </c>
      <c r="B19" s="225" t="s">
        <v>612</v>
      </c>
      <c r="C19" s="225" t="s">
        <v>613</v>
      </c>
      <c r="D19" s="225" t="s">
        <v>604</v>
      </c>
      <c r="E19" s="38" t="s">
        <v>605</v>
      </c>
      <c r="F19" s="70" t="s">
        <v>614</v>
      </c>
    </row>
    <row r="20" spans="1:6" ht="37.5" customHeight="1">
      <c r="A20" s="61">
        <v>4</v>
      </c>
      <c r="B20" s="225" t="s">
        <v>607</v>
      </c>
      <c r="C20" s="225" t="s">
        <v>608</v>
      </c>
      <c r="D20" s="225" t="s">
        <v>609</v>
      </c>
      <c r="E20" s="38" t="s">
        <v>610</v>
      </c>
      <c r="F20" s="70" t="s">
        <v>615</v>
      </c>
    </row>
    <row r="21" spans="1:6" ht="37.5" customHeight="1">
      <c r="A21" s="61">
        <v>5</v>
      </c>
      <c r="B21" s="225" t="s">
        <v>612</v>
      </c>
      <c r="C21" s="225" t="s">
        <v>613</v>
      </c>
      <c r="D21" s="225" t="s">
        <v>604</v>
      </c>
      <c r="E21" s="38" t="s">
        <v>605</v>
      </c>
      <c r="F21" s="70" t="s">
        <v>616</v>
      </c>
    </row>
    <row r="22" spans="1:6" ht="37.5" customHeight="1">
      <c r="A22" s="61">
        <v>6</v>
      </c>
      <c r="B22" s="225" t="s">
        <v>602</v>
      </c>
      <c r="C22" s="38" t="s">
        <v>603</v>
      </c>
      <c r="D22" s="225" t="s">
        <v>604</v>
      </c>
      <c r="E22" s="38" t="s">
        <v>605</v>
      </c>
      <c r="F22" s="70" t="s">
        <v>617</v>
      </c>
    </row>
    <row r="23" spans="1:6" ht="37.5" customHeight="1">
      <c r="A23" s="61">
        <v>7</v>
      </c>
      <c r="B23" s="225" t="s">
        <v>607</v>
      </c>
      <c r="C23" s="225" t="s">
        <v>608</v>
      </c>
      <c r="D23" s="225" t="s">
        <v>609</v>
      </c>
      <c r="E23" s="38" t="s">
        <v>610</v>
      </c>
      <c r="F23" s="70" t="s">
        <v>618</v>
      </c>
    </row>
    <row r="24" spans="1:6" ht="37.5" customHeight="1">
      <c r="A24" s="61">
        <v>8</v>
      </c>
      <c r="B24" s="225" t="s">
        <v>619</v>
      </c>
      <c r="C24" s="225" t="s">
        <v>613</v>
      </c>
      <c r="D24" s="225" t="s">
        <v>604</v>
      </c>
      <c r="E24" s="38" t="s">
        <v>605</v>
      </c>
      <c r="F24" s="70" t="s">
        <v>620</v>
      </c>
    </row>
    <row r="25" spans="1:6" ht="37.5" customHeight="1">
      <c r="A25" s="61">
        <v>9</v>
      </c>
      <c r="B25" s="225" t="s">
        <v>602</v>
      </c>
      <c r="C25" s="38" t="s">
        <v>603</v>
      </c>
      <c r="D25" s="225" t="s">
        <v>609</v>
      </c>
      <c r="E25" s="38" t="s">
        <v>610</v>
      </c>
      <c r="F25" s="70" t="s">
        <v>621</v>
      </c>
    </row>
    <row r="26" spans="1:6" ht="37.5" customHeight="1">
      <c r="A26" s="61">
        <v>11</v>
      </c>
      <c r="B26" s="225" t="s">
        <v>607</v>
      </c>
      <c r="C26" s="225" t="s">
        <v>608</v>
      </c>
      <c r="D26" s="225" t="s">
        <v>622</v>
      </c>
      <c r="E26" s="66" t="s">
        <v>623</v>
      </c>
      <c r="F26" s="70" t="s">
        <v>624</v>
      </c>
    </row>
    <row r="27" spans="1:6" ht="37.5" customHeight="1">
      <c r="A27" s="61">
        <v>22</v>
      </c>
      <c r="B27" s="225" t="s">
        <v>607</v>
      </c>
      <c r="C27" s="225" t="s">
        <v>608</v>
      </c>
      <c r="D27" s="225" t="s">
        <v>622</v>
      </c>
      <c r="E27" s="66" t="s">
        <v>623</v>
      </c>
      <c r="F27" s="70" t="s">
        <v>625</v>
      </c>
    </row>
    <row r="28" spans="1:6" ht="37.5" customHeight="1">
      <c r="A28" s="61">
        <v>33</v>
      </c>
      <c r="B28" s="225" t="s">
        <v>602</v>
      </c>
      <c r="C28" s="38" t="s">
        <v>603</v>
      </c>
      <c r="D28" s="225" t="s">
        <v>622</v>
      </c>
      <c r="E28" s="66" t="s">
        <v>623</v>
      </c>
      <c r="F28" s="70" t="s">
        <v>626</v>
      </c>
    </row>
  </sheetData>
  <phoneticPr fontId="1"/>
  <pageMargins left="0.7" right="0.7" top="0.75" bottom="0.75" header="0.3" footer="0.3"/>
  <pageSetup paperSize="9" scale="54" orientation="landscape" horizontalDpi="4294967293"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dimension ref="A1:D14"/>
  <sheetViews>
    <sheetView workbookViewId="0">
      <pane xSplit="1" ySplit="2" topLeftCell="B15" activePane="bottomRight" state="frozen"/>
      <selection pane="topRight" activeCell="B1" sqref="B1"/>
      <selection pane="bottomLeft" activeCell="A3" sqref="A3"/>
      <selection pane="bottomRight" activeCell="B1" sqref="B1"/>
    </sheetView>
  </sheetViews>
  <sheetFormatPr defaultRowHeight="13.5"/>
  <cols>
    <col min="2" max="2" width="18" customWidth="1"/>
    <col min="3" max="3" width="19.75" customWidth="1"/>
    <col min="4" max="4" width="25.75" customWidth="1"/>
  </cols>
  <sheetData>
    <row r="1" spans="1:4" ht="30" customHeight="1">
      <c r="B1" s="37" t="s">
        <v>627</v>
      </c>
    </row>
    <row r="2" spans="1:4" ht="27" customHeight="1">
      <c r="A2" s="80" t="s">
        <v>628</v>
      </c>
      <c r="B2" s="80" t="s">
        <v>305</v>
      </c>
      <c r="C2" s="80" t="s">
        <v>629</v>
      </c>
      <c r="D2" s="80" t="s">
        <v>630</v>
      </c>
    </row>
    <row r="3" spans="1:4" ht="40.5" customHeight="1">
      <c r="A3" s="57">
        <v>1</v>
      </c>
      <c r="B3" s="40" t="s">
        <v>631</v>
      </c>
      <c r="C3" s="43" t="s">
        <v>632</v>
      </c>
      <c r="D3" s="43" t="s">
        <v>633</v>
      </c>
    </row>
    <row r="4" spans="1:4" ht="40.5" customHeight="1">
      <c r="A4" s="225">
        <v>2</v>
      </c>
      <c r="B4" s="41" t="s">
        <v>634</v>
      </c>
      <c r="C4" s="43" t="s">
        <v>635</v>
      </c>
      <c r="D4" s="43" t="s">
        <v>636</v>
      </c>
    </row>
    <row r="5" spans="1:4" ht="40.5" customHeight="1">
      <c r="A5" s="225">
        <v>3</v>
      </c>
      <c r="B5" s="41" t="s">
        <v>637</v>
      </c>
      <c r="C5" s="43" t="s">
        <v>638</v>
      </c>
      <c r="D5" s="43" t="s">
        <v>639</v>
      </c>
    </row>
    <row r="6" spans="1:4" ht="40.5" customHeight="1">
      <c r="A6" s="225">
        <v>4</v>
      </c>
      <c r="B6" s="41" t="s">
        <v>640</v>
      </c>
      <c r="C6" s="43" t="s">
        <v>641</v>
      </c>
      <c r="D6" s="43" t="s">
        <v>642</v>
      </c>
    </row>
    <row r="7" spans="1:4" ht="40.5" customHeight="1">
      <c r="A7" s="225">
        <v>5</v>
      </c>
      <c r="B7" s="41" t="s">
        <v>643</v>
      </c>
      <c r="C7" s="43" t="s">
        <v>644</v>
      </c>
      <c r="D7" s="43" t="s">
        <v>645</v>
      </c>
    </row>
    <row r="8" spans="1:4" ht="40.5" customHeight="1">
      <c r="A8" s="225">
        <v>6</v>
      </c>
      <c r="B8" s="42" t="s">
        <v>646</v>
      </c>
      <c r="C8" s="43" t="s">
        <v>647</v>
      </c>
      <c r="D8" s="43" t="s">
        <v>648</v>
      </c>
    </row>
    <row r="9" spans="1:4" ht="40.5" customHeight="1">
      <c r="A9" s="225">
        <v>7</v>
      </c>
      <c r="B9" s="41" t="s">
        <v>649</v>
      </c>
      <c r="C9" s="43" t="s">
        <v>650</v>
      </c>
      <c r="D9" s="43" t="s">
        <v>651</v>
      </c>
    </row>
    <row r="10" spans="1:4" ht="40.5" customHeight="1">
      <c r="A10" s="225">
        <v>8</v>
      </c>
      <c r="B10" s="41" t="s">
        <v>652</v>
      </c>
      <c r="C10" s="43" t="s">
        <v>653</v>
      </c>
      <c r="D10" s="43" t="s">
        <v>654</v>
      </c>
    </row>
    <row r="11" spans="1:4" ht="40.5" customHeight="1">
      <c r="A11" s="225">
        <v>9</v>
      </c>
      <c r="B11" s="42" t="s">
        <v>655</v>
      </c>
      <c r="C11" s="43" t="s">
        <v>656</v>
      </c>
      <c r="D11" s="43" t="s">
        <v>657</v>
      </c>
    </row>
    <row r="12" spans="1:4" ht="40.5" customHeight="1">
      <c r="A12" s="225">
        <v>11</v>
      </c>
      <c r="B12" s="41" t="s">
        <v>658</v>
      </c>
      <c r="C12" s="43" t="s">
        <v>659</v>
      </c>
      <c r="D12" s="43" t="s">
        <v>660</v>
      </c>
    </row>
    <row r="13" spans="1:4" ht="40.5" customHeight="1">
      <c r="A13" s="225">
        <v>22</v>
      </c>
      <c r="B13" s="41" t="s">
        <v>661</v>
      </c>
      <c r="C13" s="43" t="s">
        <v>662</v>
      </c>
      <c r="D13" s="43" t="s">
        <v>663</v>
      </c>
    </row>
    <row r="14" spans="1:4" ht="40.5" customHeight="1">
      <c r="A14" s="225">
        <v>33</v>
      </c>
      <c r="B14" s="41" t="s">
        <v>664</v>
      </c>
      <c r="C14" s="43" t="s">
        <v>665</v>
      </c>
      <c r="D14" s="43" t="s">
        <v>666</v>
      </c>
    </row>
  </sheetData>
  <phoneticPr fontId="1"/>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36</vt:i4>
      </vt:variant>
      <vt:variant>
        <vt:lpstr>名前付き一覧</vt:lpstr>
      </vt:variant>
      <vt:variant>
        <vt:i4>27</vt:i4>
      </vt:variant>
    </vt:vector>
  </HeadingPairs>
  <TitlesOfParts>
    <vt:vector size="63" baseType="lpstr">
      <vt:lpstr>入力データ</vt:lpstr>
      <vt:lpstr>1</vt:lpstr>
      <vt:lpstr>2</vt:lpstr>
      <vt:lpstr>2-11</vt:lpstr>
      <vt:lpstr>2-22</vt:lpstr>
      <vt:lpstr>3</vt:lpstr>
      <vt:lpstr>3-11</vt:lpstr>
      <vt:lpstr>3-22</vt:lpstr>
      <vt:lpstr>4</vt:lpstr>
      <vt:lpstr>4-11</vt:lpstr>
      <vt:lpstr>4-22</vt:lpstr>
      <vt:lpstr>4-33</vt:lpstr>
      <vt:lpstr>5</vt:lpstr>
      <vt:lpstr>5-11</vt:lpstr>
      <vt:lpstr>6</vt:lpstr>
      <vt:lpstr>6 -11</vt:lpstr>
      <vt:lpstr>6 -22</vt:lpstr>
      <vt:lpstr>7</vt:lpstr>
      <vt:lpstr>7-11</vt:lpstr>
      <vt:lpstr>7-22</vt:lpstr>
      <vt:lpstr>8</vt:lpstr>
      <vt:lpstr>Sheet1</vt:lpstr>
      <vt:lpstr>8－11</vt:lpstr>
      <vt:lpstr>8－22</vt:lpstr>
      <vt:lpstr>8－33</vt:lpstr>
      <vt:lpstr>9</vt:lpstr>
      <vt:lpstr>10</vt:lpstr>
      <vt:lpstr>10 -マスターNo有</vt:lpstr>
      <vt:lpstr>Sheet2</vt:lpstr>
      <vt:lpstr>個性数</vt:lpstr>
      <vt:lpstr>体験ｽﾄｰﾘｰ</vt:lpstr>
      <vt:lpstr>天命数</vt:lpstr>
      <vt:lpstr>潜在数　課題・傾向</vt:lpstr>
      <vt:lpstr>未来のストーリー</vt:lpstr>
      <vt:lpstr>ｶﾗｰﾁｬｰﾄ・適職</vt:lpstr>
      <vt:lpstr>ｶﾗｰ・ｱﾛﾏ・ｽﾄｰﾝ</vt:lpstr>
      <vt:lpstr>'1'!Print_Area</vt:lpstr>
      <vt:lpstr>'10'!Print_Area</vt:lpstr>
      <vt:lpstr>'10 -マスターNo有'!Print_Area</vt:lpstr>
      <vt:lpstr>'2'!Print_Area</vt:lpstr>
      <vt:lpstr>'2-11'!Print_Area</vt:lpstr>
      <vt:lpstr>'2-22'!Print_Area</vt:lpstr>
      <vt:lpstr>'3'!Print_Area</vt:lpstr>
      <vt:lpstr>'3-11'!Print_Area</vt:lpstr>
      <vt:lpstr>'3-22'!Print_Area</vt:lpstr>
      <vt:lpstr>'4'!Print_Area</vt:lpstr>
      <vt:lpstr>'4-11'!Print_Area</vt:lpstr>
      <vt:lpstr>'4-22'!Print_Area</vt:lpstr>
      <vt:lpstr>'4-33'!Print_Area</vt:lpstr>
      <vt:lpstr>'5'!Print_Area</vt:lpstr>
      <vt:lpstr>'5-11'!Print_Area</vt:lpstr>
      <vt:lpstr>'6'!Print_Area</vt:lpstr>
      <vt:lpstr>'6 -11'!Print_Area</vt:lpstr>
      <vt:lpstr>'6 -22'!Print_Area</vt:lpstr>
      <vt:lpstr>'7'!Print_Area</vt:lpstr>
      <vt:lpstr>'7-11'!Print_Area</vt:lpstr>
      <vt:lpstr>'7-22'!Print_Area</vt:lpstr>
      <vt:lpstr>'8'!Print_Area</vt:lpstr>
      <vt:lpstr>'8－11'!Print_Area</vt:lpstr>
      <vt:lpstr>'8－22'!Print_Area</vt:lpstr>
      <vt:lpstr>'8－33'!Print_Area</vt:lpstr>
      <vt:lpstr>'9'!Print_Area</vt:lpstr>
      <vt:lpstr>入力の順番</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PCUser</dc:creator>
  <cp:keywords/>
  <dc:description/>
  <cp:lastModifiedBy>2594</cp:lastModifiedBy>
  <cp:revision/>
  <dcterms:created xsi:type="dcterms:W3CDTF">2015-03-26T16:21:51Z</dcterms:created>
  <dcterms:modified xsi:type="dcterms:W3CDTF">2026-02-03T04:48:28Z</dcterms:modified>
  <cp:category/>
  <cp:contentStatus/>
</cp:coreProperties>
</file>